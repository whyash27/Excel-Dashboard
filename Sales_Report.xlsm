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D:\Excel Project\"/>
    </mc:Choice>
  </mc:AlternateContent>
  <xr:revisionPtr revIDLastSave="0" documentId="13_ncr:1_{72E75D15-2472-41B3-B277-25CE0DEAF165}" xr6:coauthVersionLast="47" xr6:coauthVersionMax="47" xr10:uidLastSave="{00000000-0000-0000-0000-000000000000}"/>
  <bookViews>
    <workbookView xWindow="-108" yWindow="-108" windowWidth="23256" windowHeight="12456" tabRatio="500" xr2:uid="{00000000-000D-0000-FFFF-FFFF00000000}"/>
  </bookViews>
  <sheets>
    <sheet name="DASHBOARD" sheetId="3" r:id="rId1"/>
    <sheet name="RAW DATA" sheetId="1" r:id="rId2"/>
  </sheets>
  <definedNames>
    <definedName name="_xlnm._FilterDatabase" localSheetId="1" hidden="1">'RAW DATA'!$A$1:$L$201</definedName>
    <definedName name="Slicer_Region">#N/A</definedName>
  </definedNames>
  <calcPr calcId="191029" iterateDelta="1E-4"/>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loext="http://schemas.libreoffice.org/" uri="{7626C862-2A13-11E5-B345-FEFF819CDC9F}">
      <loext:extCalcPr stringRefSyntax="ExcelA1"/>
    </ext>
  </extLst>
</workbook>
</file>

<file path=xl/calcChain.xml><?xml version="1.0" encoding="utf-8"?>
<calcChain xmlns="http://schemas.openxmlformats.org/spreadsheetml/2006/main">
  <c r="I22" i="1" l="1"/>
  <c r="I184" i="1"/>
  <c r="K184" i="1" s="1"/>
  <c r="L184" i="1" s="1"/>
  <c r="I183" i="1"/>
  <c r="K183" i="1" s="1"/>
  <c r="L183" i="1" s="1"/>
  <c r="I182" i="1"/>
  <c r="K182" i="1" s="1"/>
  <c r="L182" i="1" s="1"/>
  <c r="I181" i="1"/>
  <c r="K181" i="1" s="1"/>
  <c r="L181" i="1" s="1"/>
  <c r="I180" i="1"/>
  <c r="K180" i="1" s="1"/>
  <c r="L180" i="1" s="1"/>
  <c r="I179" i="1"/>
  <c r="K179" i="1" s="1"/>
  <c r="L179" i="1" s="1"/>
  <c r="I178" i="1"/>
  <c r="K178" i="1" s="1"/>
  <c r="L178" i="1" s="1"/>
  <c r="I177" i="1"/>
  <c r="K177" i="1" s="1"/>
  <c r="L177" i="1" s="1"/>
  <c r="I176" i="1"/>
  <c r="K176" i="1" s="1"/>
  <c r="L176" i="1" s="1"/>
  <c r="I175" i="1"/>
  <c r="K175" i="1" s="1"/>
  <c r="L175" i="1" s="1"/>
  <c r="I174" i="1"/>
  <c r="K174" i="1" s="1"/>
  <c r="L174" i="1" s="1"/>
  <c r="I173" i="1"/>
  <c r="K173" i="1" s="1"/>
  <c r="L173" i="1" s="1"/>
  <c r="I172" i="1"/>
  <c r="K172" i="1" s="1"/>
  <c r="L172" i="1" s="1"/>
  <c r="I171" i="1"/>
  <c r="K171" i="1" s="1"/>
  <c r="L171" i="1" s="1"/>
  <c r="I170" i="1"/>
  <c r="K170" i="1" s="1"/>
  <c r="L170" i="1" s="1"/>
  <c r="I169" i="1"/>
  <c r="K169" i="1" s="1"/>
  <c r="L169" i="1" s="1"/>
  <c r="I168" i="1"/>
  <c r="K168" i="1" s="1"/>
  <c r="L168" i="1" s="1"/>
  <c r="I167" i="1"/>
  <c r="K167" i="1" s="1"/>
  <c r="L167" i="1" s="1"/>
  <c r="I166" i="1"/>
  <c r="K166" i="1" s="1"/>
  <c r="L166" i="1" s="1"/>
  <c r="I165" i="1"/>
  <c r="K165" i="1" s="1"/>
  <c r="L165" i="1" s="1"/>
  <c r="I164" i="1"/>
  <c r="K164" i="1" s="1"/>
  <c r="L164" i="1" s="1"/>
  <c r="I163" i="1"/>
  <c r="K163" i="1" s="1"/>
  <c r="L163" i="1" s="1"/>
  <c r="I162" i="1"/>
  <c r="K162" i="1" s="1"/>
  <c r="L162" i="1" s="1"/>
  <c r="I161" i="1"/>
  <c r="K161" i="1" s="1"/>
  <c r="L161" i="1" s="1"/>
  <c r="I160" i="1"/>
  <c r="K160" i="1" s="1"/>
  <c r="L160" i="1" s="1"/>
  <c r="I159" i="1"/>
  <c r="K159" i="1" s="1"/>
  <c r="L159" i="1" s="1"/>
  <c r="I158" i="1"/>
  <c r="K158" i="1" s="1"/>
  <c r="L158" i="1" s="1"/>
  <c r="I157" i="1"/>
  <c r="K157" i="1" s="1"/>
  <c r="L157" i="1" s="1"/>
  <c r="I156" i="1"/>
  <c r="K156" i="1" s="1"/>
  <c r="L156" i="1" s="1"/>
  <c r="I155" i="1"/>
  <c r="K155" i="1" s="1"/>
  <c r="L155" i="1" s="1"/>
  <c r="I154" i="1"/>
  <c r="K154" i="1" s="1"/>
  <c r="L154" i="1" s="1"/>
  <c r="I153" i="1"/>
  <c r="K153" i="1" s="1"/>
  <c r="L153" i="1" s="1"/>
  <c r="I152" i="1"/>
  <c r="K152" i="1" s="1"/>
  <c r="L152" i="1" s="1"/>
  <c r="I151" i="1"/>
  <c r="K151" i="1" s="1"/>
  <c r="L151" i="1" s="1"/>
  <c r="I150" i="1"/>
  <c r="K150" i="1" s="1"/>
  <c r="L150" i="1" s="1"/>
  <c r="I149" i="1"/>
  <c r="K149" i="1" s="1"/>
  <c r="L149" i="1" s="1"/>
  <c r="I148" i="1"/>
  <c r="K148" i="1" s="1"/>
  <c r="L148" i="1" s="1"/>
  <c r="I147" i="1"/>
  <c r="K147" i="1" s="1"/>
  <c r="L147" i="1" s="1"/>
  <c r="I146" i="1"/>
  <c r="K146" i="1" s="1"/>
  <c r="L146" i="1" s="1"/>
  <c r="I145" i="1"/>
  <c r="K145" i="1" s="1"/>
  <c r="L145" i="1" s="1"/>
  <c r="I144" i="1"/>
  <c r="K144" i="1" s="1"/>
  <c r="L144" i="1" s="1"/>
  <c r="I143" i="1"/>
  <c r="K143" i="1" s="1"/>
  <c r="L143" i="1" s="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K22" i="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<sst xmlns="http://schemas.openxmlformats.org/spreadsheetml/2006/main" count="589" uniqueCount="386">
  <si>
    <t>Emp Code</t>
  </si>
  <si>
    <t>Sales Executive</t>
  </si>
  <si>
    <t>Region</t>
  </si>
  <si>
    <t>Total Sales</t>
  </si>
  <si>
    <t>Target</t>
  </si>
  <si>
    <t>Target Hit %</t>
  </si>
  <si>
    <t>Away From Target %</t>
  </si>
  <si>
    <t>EMP1000</t>
  </si>
  <si>
    <t>Dinesh Singh</t>
  </si>
  <si>
    <t>Maharashtra</t>
  </si>
  <si>
    <t>EMP1001</t>
  </si>
  <si>
    <t>Poonam Pillai</t>
  </si>
  <si>
    <t>EMP1002</t>
  </si>
  <si>
    <t>Manoj Bhatt</t>
  </si>
  <si>
    <t>Uttar Pradesh</t>
  </si>
  <si>
    <t>EMP1003</t>
  </si>
  <si>
    <t>Sandeep Menon</t>
  </si>
  <si>
    <t>Tamil Nadu</t>
  </si>
  <si>
    <t>EMP1004</t>
  </si>
  <si>
    <t>Kavita Mehta</t>
  </si>
  <si>
    <t>EMP1005</t>
  </si>
  <si>
    <t>Deepak Verma</t>
  </si>
  <si>
    <t>Gujarat</t>
  </si>
  <si>
    <t>EMP1006</t>
  </si>
  <si>
    <t>Dinesh Agarwal</t>
  </si>
  <si>
    <t>EMP1007</t>
  </si>
  <si>
    <t>Anjali Nair</t>
  </si>
  <si>
    <t>EMP1008</t>
  </si>
  <si>
    <t>Vivek Reddy</t>
  </si>
  <si>
    <t>EMP1009</t>
  </si>
  <si>
    <t>Rakesh Iyer</t>
  </si>
  <si>
    <t>EMP1010</t>
  </si>
  <si>
    <t>Anita Iyer</t>
  </si>
  <si>
    <t>EMP1011</t>
  </si>
  <si>
    <t>Usha Rao</t>
  </si>
  <si>
    <t>Karnataka</t>
  </si>
  <si>
    <t>EMP1012</t>
  </si>
  <si>
    <t>Poonam Menon</t>
  </si>
  <si>
    <t>EMP1013</t>
  </si>
  <si>
    <t>Sunita Gupta</t>
  </si>
  <si>
    <t>EMP1014</t>
  </si>
  <si>
    <t>Rakesh Agarwal</t>
  </si>
  <si>
    <t>EMP1015</t>
  </si>
  <si>
    <t>Prakash Iyer</t>
  </si>
  <si>
    <t>EMP1016</t>
  </si>
  <si>
    <t>Rajesh Iyer</t>
  </si>
  <si>
    <t>EMP1017</t>
  </si>
  <si>
    <t>Suresh Patel</t>
  </si>
  <si>
    <t>EMP1018</t>
  </si>
  <si>
    <t>Priya Singh</t>
  </si>
  <si>
    <t>EMP1019</t>
  </si>
  <si>
    <t>Anjali Desai</t>
  </si>
  <si>
    <t>EMP1020</t>
  </si>
  <si>
    <t>Deepak Bhatt</t>
  </si>
  <si>
    <t>EMP1021</t>
  </si>
  <si>
    <t>Vijay Chopra</t>
  </si>
  <si>
    <t>EMP1022</t>
  </si>
  <si>
    <t>Nisha Sharma</t>
  </si>
  <si>
    <t>EMP1023</t>
  </si>
  <si>
    <t>Manju Verma</t>
  </si>
  <si>
    <t>EMP1024</t>
  </si>
  <si>
    <t>Swati Desai</t>
  </si>
  <si>
    <t>EMP1025</t>
  </si>
  <si>
    <t>Ashok Kapoor</t>
  </si>
  <si>
    <t>EMP1026</t>
  </si>
  <si>
    <t>Rekha Verma</t>
  </si>
  <si>
    <t>EMP1027</t>
  </si>
  <si>
    <t>Suresh Pillai</t>
  </si>
  <si>
    <t>EMP1028</t>
  </si>
  <si>
    <t>Vikram Rao</t>
  </si>
  <si>
    <t>EMP1029</t>
  </si>
  <si>
    <t>Arjun Kapoor</t>
  </si>
  <si>
    <t>EMP1030</t>
  </si>
  <si>
    <t>Amit Malhotra</t>
  </si>
  <si>
    <t>EMP1031</t>
  </si>
  <si>
    <t>Suresh Joshi</t>
  </si>
  <si>
    <t>EMP1032</t>
  </si>
  <si>
    <t>Sneha Menon</t>
  </si>
  <si>
    <t>EMP1033</t>
  </si>
  <si>
    <t>Divya Gupta</t>
  </si>
  <si>
    <t>EMP1034</t>
  </si>
  <si>
    <t>Kiran Agarwal</t>
  </si>
  <si>
    <t>EMP1035</t>
  </si>
  <si>
    <t>Deepak Reddy</t>
  </si>
  <si>
    <t>EMP1036</t>
  </si>
  <si>
    <t>Sanjay Gupta</t>
  </si>
  <si>
    <t>EMP1037</t>
  </si>
  <si>
    <t>Naveen Iyer</t>
  </si>
  <si>
    <t>EMP1038</t>
  </si>
  <si>
    <t>Sandeep Pillai</t>
  </si>
  <si>
    <t>EMP1039</t>
  </si>
  <si>
    <t>Deepak Singh</t>
  </si>
  <si>
    <t>EMP1040</t>
  </si>
  <si>
    <t>Nisha Reddy</t>
  </si>
  <si>
    <t>EMP1041</t>
  </si>
  <si>
    <t>Preeti Iyer</t>
  </si>
  <si>
    <t>EMP1043</t>
  </si>
  <si>
    <t>Rahul Chopra</t>
  </si>
  <si>
    <t>EMP1044</t>
  </si>
  <si>
    <t>Shalini Verma</t>
  </si>
  <si>
    <t>EMP1045</t>
  </si>
  <si>
    <t>Seema Patel</t>
  </si>
  <si>
    <t>EMP1046</t>
  </si>
  <si>
    <t>Nisha Kapoor</t>
  </si>
  <si>
    <t>EMP1047</t>
  </si>
  <si>
    <t>Manoj Reddy</t>
  </si>
  <si>
    <t>EMP1048</t>
  </si>
  <si>
    <t>Suresh Malhotra</t>
  </si>
  <si>
    <t>EMP1049</t>
  </si>
  <si>
    <t>Lata Pillai</t>
  </si>
  <si>
    <t>EMP1050</t>
  </si>
  <si>
    <t>Rahul Singh</t>
  </si>
  <si>
    <t>EMP1051</t>
  </si>
  <si>
    <t>Rakesh Menon</t>
  </si>
  <si>
    <t>EMP1052</t>
  </si>
  <si>
    <t>Lata Reddy</t>
  </si>
  <si>
    <t>EMP1053</t>
  </si>
  <si>
    <t>Meena Bhatt</t>
  </si>
  <si>
    <t>EMP1054</t>
  </si>
  <si>
    <t>Suresh Kapoor</t>
  </si>
  <si>
    <t>EMP1055</t>
  </si>
  <si>
    <t>Meena Joshi</t>
  </si>
  <si>
    <t>EMP1058</t>
  </si>
  <si>
    <t>Priya Verma</t>
  </si>
  <si>
    <t>EMP1059</t>
  </si>
  <si>
    <t>Manju Malhotra</t>
  </si>
  <si>
    <t>EMP1060</t>
  </si>
  <si>
    <t>Manoj Kumar</t>
  </si>
  <si>
    <t>EMP1061</t>
  </si>
  <si>
    <t>Karan Rao</t>
  </si>
  <si>
    <t>EMP1062</t>
  </si>
  <si>
    <t>Sandeep Kumar</t>
  </si>
  <si>
    <t>EMP1063</t>
  </si>
  <si>
    <t>Dinesh Nair</t>
  </si>
  <si>
    <t>EMP1064</t>
  </si>
  <si>
    <t>Sanjay Pillai</t>
  </si>
  <si>
    <t>EMP1065</t>
  </si>
  <si>
    <t>Kavita Gupta</t>
  </si>
  <si>
    <t>EMP1066</t>
  </si>
  <si>
    <t>Kavita Kapoor</t>
  </si>
  <si>
    <t>EMP1067</t>
  </si>
  <si>
    <t>Vivek Joshi</t>
  </si>
  <si>
    <t>EMP1068</t>
  </si>
  <si>
    <t>Swati Kapoor</t>
  </si>
  <si>
    <t>EMP1069</t>
  </si>
  <si>
    <t>Karan Agarwal</t>
  </si>
  <si>
    <t>EMP1070</t>
  </si>
  <si>
    <t>Usha Kapoor</t>
  </si>
  <si>
    <t>EMP1071</t>
  </si>
  <si>
    <t>Kavita Rao</t>
  </si>
  <si>
    <t>EMP1072</t>
  </si>
  <si>
    <t>Ashok Sharma</t>
  </si>
  <si>
    <t>EMP1073</t>
  </si>
  <si>
    <t>Ritu Reddy</t>
  </si>
  <si>
    <t>EMP1075</t>
  </si>
  <si>
    <t>Kiran Sharma</t>
  </si>
  <si>
    <t>EMP1076</t>
  </si>
  <si>
    <t>Sunil Nair</t>
  </si>
  <si>
    <t>EMP1077</t>
  </si>
  <si>
    <t>Preeti Chopra</t>
  </si>
  <si>
    <t>EMP1079</t>
  </si>
  <si>
    <t>Prakash Desai</t>
  </si>
  <si>
    <t>EMP1080</t>
  </si>
  <si>
    <t>Swati Rao</t>
  </si>
  <si>
    <t>EMP1081</t>
  </si>
  <si>
    <t>Sanjay Kumar</t>
  </si>
  <si>
    <t>EMP1082</t>
  </si>
  <si>
    <t>Sunil Iyer</t>
  </si>
  <si>
    <t>EMP1083</t>
  </si>
  <si>
    <t>Gaurav Desai</t>
  </si>
  <si>
    <t>EMP1084</t>
  </si>
  <si>
    <t>Ajay Nair</t>
  </si>
  <si>
    <t>EMP1085</t>
  </si>
  <si>
    <t>Geeta Chopra</t>
  </si>
  <si>
    <t>EMP1086</t>
  </si>
  <si>
    <t>Deepak Nair</t>
  </si>
  <si>
    <t>EMP1087</t>
  </si>
  <si>
    <t>Kavita Desai</t>
  </si>
  <si>
    <t>EMP1088</t>
  </si>
  <si>
    <t>Manoj Chopra</t>
  </si>
  <si>
    <t>EMP1089</t>
  </si>
  <si>
    <t>Sneha Pillai</t>
  </si>
  <si>
    <t>EMP1090</t>
  </si>
  <si>
    <t>Ashok Desai</t>
  </si>
  <si>
    <t>EMP1091</t>
  </si>
  <si>
    <t>Vikram Malhotra</t>
  </si>
  <si>
    <t>EMP1092</t>
  </si>
  <si>
    <t>Meena Gupta</t>
  </si>
  <si>
    <t>EMP1093</t>
  </si>
  <si>
    <t>Sandeep Rao</t>
  </si>
  <si>
    <t>EMP1094</t>
  </si>
  <si>
    <t>Poonam Singh</t>
  </si>
  <si>
    <t>EMP1095</t>
  </si>
  <si>
    <t>Vandana Gupta</t>
  </si>
  <si>
    <t>EMP1096</t>
  </si>
  <si>
    <t>Manoj Joshi</t>
  </si>
  <si>
    <t>EMP1098</t>
  </si>
  <si>
    <t>Sneha Kumar</t>
  </si>
  <si>
    <t>EMP1099</t>
  </si>
  <si>
    <t>Meena Malhotra</t>
  </si>
  <si>
    <t>EMP1100</t>
  </si>
  <si>
    <t>Rahul Kapoor</t>
  </si>
  <si>
    <t>EMP1101</t>
  </si>
  <si>
    <t>Priya Iyer</t>
  </si>
  <si>
    <t>EMP1102</t>
  </si>
  <si>
    <t>Divya Menon</t>
  </si>
  <si>
    <t>EMP1103</t>
  </si>
  <si>
    <t>Sanjay Singh</t>
  </si>
  <si>
    <t>EMP1104</t>
  </si>
  <si>
    <t>Rahul Rao</t>
  </si>
  <si>
    <t>EMP1105</t>
  </si>
  <si>
    <t>Amit Pillai</t>
  </si>
  <si>
    <t>EMP1106</t>
  </si>
  <si>
    <t>Alok Desai</t>
  </si>
  <si>
    <t>EMP1107</t>
  </si>
  <si>
    <t>Sandeep Desai</t>
  </si>
  <si>
    <t>EMP1108</t>
  </si>
  <si>
    <t>Vandana Kapoor</t>
  </si>
  <si>
    <t>EMP1109</t>
  </si>
  <si>
    <t>Manju Joshi</t>
  </si>
  <si>
    <t>EMP1110</t>
  </si>
  <si>
    <t>Vandana Patel</t>
  </si>
  <si>
    <t>EMP1111</t>
  </si>
  <si>
    <t>Nisha Bhatt</t>
  </si>
  <si>
    <t>EMP1112</t>
  </si>
  <si>
    <t>Sunita Patel</t>
  </si>
  <si>
    <t>EMP1113</t>
  </si>
  <si>
    <t>Rakesh Rao</t>
  </si>
  <si>
    <t>EMP1114</t>
  </si>
  <si>
    <t>Rahul Mehta</t>
  </si>
  <si>
    <t>EMP1115</t>
  </si>
  <si>
    <t>Naveen Menon</t>
  </si>
  <si>
    <t>EMP1116</t>
  </si>
  <si>
    <t>Rajesh Patel</t>
  </si>
  <si>
    <t>EMP1117</t>
  </si>
  <si>
    <t>Sunil Malhotra</t>
  </si>
  <si>
    <t>EMP1118</t>
  </si>
  <si>
    <t>Rahul Agarwal</t>
  </si>
  <si>
    <t>EMP1119</t>
  </si>
  <si>
    <t>Alok Singh</t>
  </si>
  <si>
    <t>EMP1120</t>
  </si>
  <si>
    <t>Ajay Chopra</t>
  </si>
  <si>
    <t>EMP1121</t>
  </si>
  <si>
    <t>Lata Kumar</t>
  </si>
  <si>
    <t>EMP1122</t>
  </si>
  <si>
    <t>Pooja Nair</t>
  </si>
  <si>
    <t>EMP1126</t>
  </si>
  <si>
    <t>Amit Menon</t>
  </si>
  <si>
    <t>EMP1127</t>
  </si>
  <si>
    <t>Suresh Agarwal</t>
  </si>
  <si>
    <t>EMP1128</t>
  </si>
  <si>
    <t>Kiran Chopra</t>
  </si>
  <si>
    <t>EMP1129</t>
  </si>
  <si>
    <t>Karan Pillai</t>
  </si>
  <si>
    <t>EMP1130</t>
  </si>
  <si>
    <t>Ajay Mehta</t>
  </si>
  <si>
    <t>EMP1131</t>
  </si>
  <si>
    <t>Shalini Gupta</t>
  </si>
  <si>
    <t>EMP1132</t>
  </si>
  <si>
    <t>Lata Iyer</t>
  </si>
  <si>
    <t>EMP1133</t>
  </si>
  <si>
    <t>Seema Pillai</t>
  </si>
  <si>
    <t>EMP1134</t>
  </si>
  <si>
    <t>Karan Verma</t>
  </si>
  <si>
    <t>EMP1135</t>
  </si>
  <si>
    <t>Karan Malhotra</t>
  </si>
  <si>
    <t>EMP1136</t>
  </si>
  <si>
    <t>Usha Singh</t>
  </si>
  <si>
    <t>EMP1137</t>
  </si>
  <si>
    <t>Sandeep Nair</t>
  </si>
  <si>
    <t>EMP1138</t>
  </si>
  <si>
    <t>Swati Reddy</t>
  </si>
  <si>
    <t>EMP1139</t>
  </si>
  <si>
    <t>Ritu Patel</t>
  </si>
  <si>
    <t>EMP1140</t>
  </si>
  <si>
    <t>Manoj Mehta</t>
  </si>
  <si>
    <t>EMP1141</t>
  </si>
  <si>
    <t>Divya Singh</t>
  </si>
  <si>
    <t>EMP1142</t>
  </si>
  <si>
    <t>Priya Kumar</t>
  </si>
  <si>
    <t>EMP1143</t>
  </si>
  <si>
    <t>Vikram Desai</t>
  </si>
  <si>
    <t>EMP1144</t>
  </si>
  <si>
    <t>Manoj Agarwal</t>
  </si>
  <si>
    <t>EMP1145</t>
  </si>
  <si>
    <t>Anita Kapoor</t>
  </si>
  <si>
    <t>EMP1146</t>
  </si>
  <si>
    <t>Pooja Gupta</t>
  </si>
  <si>
    <t>EMP1147</t>
  </si>
  <si>
    <t>Geeta Joshi</t>
  </si>
  <si>
    <t>EMP1149</t>
  </si>
  <si>
    <t>Rajesh Singh</t>
  </si>
  <si>
    <t>EMP1150</t>
  </si>
  <si>
    <t>Ashok Gupta</t>
  </si>
  <si>
    <t>EMP1151</t>
  </si>
  <si>
    <t>Vandana Verma</t>
  </si>
  <si>
    <t>EMP1152</t>
  </si>
  <si>
    <t>Vijay Kapoor</t>
  </si>
  <si>
    <t>EMP1153</t>
  </si>
  <si>
    <t>Kavita Patel</t>
  </si>
  <si>
    <t>EMP1154</t>
  </si>
  <si>
    <t>Alok Iyer</t>
  </si>
  <si>
    <t>EMP1155</t>
  </si>
  <si>
    <t>Vijay Iyer</t>
  </si>
  <si>
    <t>EMP1156</t>
  </si>
  <si>
    <t>Divya Patel</t>
  </si>
  <si>
    <t>EMP1157</t>
  </si>
  <si>
    <t>Kavita Malhotra</t>
  </si>
  <si>
    <t>EMP1158</t>
  </si>
  <si>
    <t>Sanjay Menon</t>
  </si>
  <si>
    <t>EMP1159</t>
  </si>
  <si>
    <t>Anjali Iyer</t>
  </si>
  <si>
    <t>EMP1160</t>
  </si>
  <si>
    <t>Alok Bhatt</t>
  </si>
  <si>
    <t>EMP1164</t>
  </si>
  <si>
    <t>Anita Verma</t>
  </si>
  <si>
    <t>EMP1165</t>
  </si>
  <si>
    <t>Ramesh Malhotra</t>
  </si>
  <si>
    <t>EMP1166</t>
  </si>
  <si>
    <t>Seema Rao</t>
  </si>
  <si>
    <t>EMP1167</t>
  </si>
  <si>
    <t>Anita Bhatt</t>
  </si>
  <si>
    <t>EMP1168</t>
  </si>
  <si>
    <t>Vikram Bhatt</t>
  </si>
  <si>
    <t>EMP1169</t>
  </si>
  <si>
    <t>Usha Patel</t>
  </si>
  <si>
    <t>EMP1171</t>
  </si>
  <si>
    <t>Ramesh Agarwal</t>
  </si>
  <si>
    <t>EMP1172</t>
  </si>
  <si>
    <t>Dinesh Joshi</t>
  </si>
  <si>
    <t>EMP1173</t>
  </si>
  <si>
    <t>Rekha Rao</t>
  </si>
  <si>
    <t>EMP1174</t>
  </si>
  <si>
    <t>Mahesh Bhatt</t>
  </si>
  <si>
    <t>EMP1175</t>
  </si>
  <si>
    <t>Usha Reddy</t>
  </si>
  <si>
    <t>EMP1176</t>
  </si>
  <si>
    <t>Nisha Gupta</t>
  </si>
  <si>
    <t>EMP1177</t>
  </si>
  <si>
    <t>Geeta Agarwal</t>
  </si>
  <si>
    <t>EMP1178</t>
  </si>
  <si>
    <t>Lata Agarwal</t>
  </si>
  <si>
    <t>EMP1179</t>
  </si>
  <si>
    <t>Rakesh Joshi</t>
  </si>
  <si>
    <t>EMP1181</t>
  </si>
  <si>
    <t>Vijay Bhatt</t>
  </si>
  <si>
    <t>EMP1182</t>
  </si>
  <si>
    <t>Divya Reddy</t>
  </si>
  <si>
    <t>EMP1183</t>
  </si>
  <si>
    <t>Ajay Singh</t>
  </si>
  <si>
    <t>EMP1184</t>
  </si>
  <si>
    <t>Rakesh Patel</t>
  </si>
  <si>
    <t>EMP1185</t>
  </si>
  <si>
    <t>Lata Nair</t>
  </si>
  <si>
    <t>EMP1186</t>
  </si>
  <si>
    <t>Ashok Reddy</t>
  </si>
  <si>
    <t>EMP1187</t>
  </si>
  <si>
    <t>Geeta Kapoor</t>
  </si>
  <si>
    <t>EMP1188</t>
  </si>
  <si>
    <t>Vandana Singh</t>
  </si>
  <si>
    <t>EMP1189</t>
  </si>
  <si>
    <t>Naveen Patel</t>
  </si>
  <si>
    <t>EMP1190</t>
  </si>
  <si>
    <t>Sneha Malhotra</t>
  </si>
  <si>
    <t>EMP1191</t>
  </si>
  <si>
    <t>Priya Mehta</t>
  </si>
  <si>
    <t>EMP1192</t>
  </si>
  <si>
    <t>Sunil Patel</t>
  </si>
  <si>
    <t>EMP1193</t>
  </si>
  <si>
    <t>Pooja Pillai</t>
  </si>
  <si>
    <t>EMP1194</t>
  </si>
  <si>
    <t>Neha Verma</t>
  </si>
  <si>
    <t>EMP1195</t>
  </si>
  <si>
    <t>Prakash Sharma</t>
  </si>
  <si>
    <t>EMP1196</t>
  </si>
  <si>
    <t>Seema Chopra</t>
  </si>
  <si>
    <t>EMP1198</t>
  </si>
  <si>
    <t>Rahul Malhotra</t>
  </si>
  <si>
    <t>Day 1</t>
  </si>
  <si>
    <t>Day 2</t>
  </si>
  <si>
    <t>Day 3</t>
  </si>
  <si>
    <t>Day 4</t>
  </si>
  <si>
    <t>Day 5</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</si>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</sst>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5" x14ac:knownFonts="1">
    <font>
      <sz val="11"/>
      <color theme="1"/>
      <name val="Calibri"/>
      <family val="2"/>
      <charset val="1"/>
    </font>
    <font>
      <b/>
      <sz val="11"/>
      <color rgb="FFFFFFFF"/>
      <name val="Arial"/>
      <charset val="1"/>
    </font>
    <font>
      <sz val="11"/>
      <name val="Arial"/>
      <charset val="1"/>
    </font>
    <font>
      <sz val="10"/>
      <color theme="1"/>
      <name val="Calibri"/>
      <family val="2"/>
      <charset val="1"/>
    </font>
    <font>
      <sz val="8"/>
      <color rgb="FF000000"/>
      <name val="Segoe UI"/>
      <family val="2"/>
    </font>
  </fonts>
  <fills count="5">
    <fill>
      <patternFill patternType="none"/>
    </fill>
    <fill>
      <patternFill patternType="gray125"/>
    </fill>
    <fill>
      <patternFill patternType="solid">
        <fgColor rgb="FF4472C4"/>
        <bgColor rgb="FF666699"/>
      </patternFill>
    </fill>
    <fill>
      <patternFill patternType="solid">
        <fgColor theme="0" tint="-0.14999847407452621"/>
        <bgColor indexed="64"/>
      </patternFill>
    </fill>
    <fill>
      <patternFill patternType="solid">
        <fgColor theme="0"/>
        <bgColor indexed="64"/>
      </patternFill>
    </fill>
  </fills>
  <borders count="2">
    <border>
      <left/>
      <right/>
      <top/>
      <bottom/>
      <diagonal/>
    </border>
    <border>
      <left style="thin">
        <color rgb="FFB7B7B7"/>
      </left>
      <right style="thin">
        <color rgb="FFB7B7B7"/>
      </right>
      <top style="thin">
        <color rgb="FFB7B7B7"/>
      </top>
      <bottom style="thin">
        <color rgb="FFB7B7B7"/>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horizontal="left" vertical="center"/>
    </xf>
    <xf numFmtId="3" fontId="2" fillId="0" borderId="1" xfId="0" applyNumberFormat="1" applyFont="1" applyBorder="1" applyAlignment="1">
      <alignment horizontal="center" vertical="center"/>
    </xf>
    <xf numFmtId="164" fontId="2" fillId="0" borderId="1" xfId="0" applyNumberFormat="1" applyFont="1" applyBorder="1" applyAlignment="1">
      <alignment horizontal="center" vertical="center"/>
    </xf>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0" fontId="0" fillId="3" borderId="0" xfId="0" applyFill="1"/>
    <xf numFmtId="0" fontId="3" fillId="0" borderId="0" xfId="0" applyFont="1"/>
    <xf numFmtId="0" fontId="0" fillId="4" borderId="0" xfId="0" applyFill="1"/>
  </cellXfs>
  <cellStyles count="1">
    <cellStyle name="Normal" xfId="0" builtinId="0"/>
  </cellStyles>
  <dxfs count="9">
    <dxf>
      <fill>
        <patternFill patternType="solid">
          <bgColor theme="0" tint="-0.14999847407452621"/>
        </patternFill>
      </fill>
    </dxf>
    <dxf>
      <fill>
        <patternFill patternType="none">
          <bgColor auto="1"/>
        </patternFill>
      </fill>
    </dxf>
    <dxf>
      <fill>
        <patternFill patternType="solid">
          <bgColor theme="0" tint="-0.14999847407452621"/>
        </patternFill>
      </fill>
    </dxf>
    <dxf>
      <fill>
        <patternFill patternType="none">
          <bgColor auto="1"/>
        </patternFill>
      </fill>
    </dxf>
    <dxf>
      <fill>
        <patternFill patternType="solid">
          <bgColor theme="0" tint="-0.14999847407452621"/>
        </patternFill>
      </fill>
    </dxf>
    <dxf>
      <fill>
        <patternFill patternType="none">
          <bgColor auto="1"/>
        </patternFill>
      </fill>
    </dxf>
    <dxf>
      <fill>
        <patternFill patternType="solid">
          <bgColor theme="0" tint="-0.14999847407452621"/>
        </patternFill>
      </fill>
    </dxf>
    <dxf>
      <fill>
        <patternFill patternType="none">
          <bgColor auto="1"/>
        </patternFill>
      </fill>
    </dxf>
    <dxf>
      <fill>
        <patternFill>
          <bgColor theme="7" tint="0.79998168889431442"/>
        </patternFill>
      </fill>
      <border>
        <left style="thin">
          <color auto="1"/>
        </left>
        <right style="thin">
          <color auto="1"/>
        </right>
        <top style="thin">
          <color auto="1"/>
        </top>
        <bottom style="thin">
          <color auto="1"/>
        </bottom>
      </border>
    </dxf>
  </dxfs>
  <tableStyles count="1" defaultTableStyle="TableStyleMedium2" defaultPivotStyle="PivotStyleLight16">
    <tableStyle name="Slicer Style 1" pivot="0" table="0" count="4" xr9:uid="{9B4B59D5-BD81-48D3-80B4-4BF26CC2C3E9}">
      <tableStyleElement type="wholeTable" dxfId="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7B7B7"/>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4472C4"/>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46F421CA-312F-682f-3DD2-61675219B42D}">
      <x14:dxfs count="3">
        <dxf>
          <fill>
            <patternFill>
              <bgColor theme="0" tint="-0.34998626667073579"/>
            </patternFill>
          </fill>
        </dxf>
        <dxf>
          <fill>
            <patternFill>
              <bgColor theme="7" tint="0.39994506668294322"/>
            </patternFill>
          </fill>
        </dxf>
        <dxf>
          <fill>
            <patternFill>
              <bgColor theme="0"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[Sales_Report.xlsm]DASHBOARD!PivotTable2</c:name>
    <c:fmtId val="0"/>
  </c:pivotSource>
  <c:chart>
    <c:autoTitleDeleted val="1"/>
    <c:pivotFmts>
      <c:pivotFmt>
        <c:idx val="0"/>
        <c:spPr>
          <a:solidFill>
            <a:schemeClr val="accent1"/>
          </a:solidFill>
          <a:ln>
            <a:noFill/>
          </a:ln>
          <a:effectLst/>
        </c:spPr>
        <c:marker>
          <c:symbol val="none"/>
        </c:marker>
        <c:dLbl>
          <c:idx val="0"/>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6">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Alok Iyer</c:v>
                </c:pt>
                <c:pt idx="1">
                  <c:v>Karan Rao</c:v>
                </c:pt>
                <c:pt idx="2">
                  <c:v>Manju Joshi</c:v>
                </c:pt>
                <c:pt idx="3">
                  <c:v>Rahul Singh</c:v>
                </c:pt>
                <c:pt idx="4">
                  <c:v>Vandana Verma</c:v>
                </c:pt>
              </c:strCache>
            </c:strRef>
          </c:cat>
          <c:val>
            <c:numRef>
              <c:f>DASHBOARD!$B$4:$B$8</c:f>
              <c:numCache>
                <c:formatCode>#,##0</c:formatCode>
                <c:ptCount val="5"/>
                <c:pt idx="0">
                  <c:v>327</c:v>
                </c:pt>
                <c:pt idx="1">
                  <c:v>385</c:v>
                </c:pt>
                <c:pt idx="2">
                  <c:v>339</c:v>
                </c:pt>
                <c:pt idx="3">
                  <c:v>359</c:v>
                </c:pt>
                <c:pt idx="4">
                  <c:v>351</c:v>
                </c:pt>
              </c:numCache>
            </c:numRef>
          </c:val>
          <c:extLst>
            <c:ext xmlns:c16="http://schemas.microsoft.com/office/drawing/2014/chart" uri="{C3380CC4-5D6E-409C-BE32-E72D297353CC}">
              <c16:uniqueId val="{00000000-CDD2-45B7-BB52-01E3CA295BEB}"/>
            </c:ext>
          </c:extLst>
        </c:ser>
        <c:dLbls>
          <c:showLegendKey val="0"/>
          <c:showVal val="0"/>
          <c:showCatName val="0"/>
          <c:showSerName val="0"/>
          <c:showPercent val="0"/>
          <c:showBubbleSize val="0"/>
        </c:dLbls>
        <c:gapWidth val="182"/>
        <c:axId val="1951390976"/>
        <c:axId val="1851526736"/>
      </c:barChart>
      <c:catAx>
        <c:axId val="19513909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526736"/>
        <c:crosses val="autoZero"/>
        <c:auto val="1"/>
        <c:lblAlgn val="ctr"/>
        <c:lblOffset val="100"/>
        <c:noMultiLvlLbl val="0"/>
      </c:catAx>
      <c:valAx>
        <c:axId val="1851526736"/>
        <c:scaling>
          <c:orientation val="minMax"/>
        </c:scaling>
        <c:delete val="1"/>
        <c:axPos val="b"/>
        <c:numFmt formatCode="#,##0" sourceLinked="1"/>
        <c:majorTickMark val="none"/>
        <c:minorTickMark val="none"/>
        <c:tickLblPos val="nextTo"/>
        <c:crossAx val="19513909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[Sales_Report.xlsm]DASHBOARD!PivotTable9</c:name>
    <c:fmtId val="2"/>
  </c:pivotSource>
  <c:chart>
    <c:autoTitleDeleted val="1"/>
    <c:pivotFmts>
      <c:pivotFmt>
        <c:idx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extLst>
            <c:ext xmlns:c15="http://schemas.microsoft.com/office/drawing/2012/chart" uri="{CE6537A1-D6FC-4f65-9D91-7224C49458BB}"/>
          </c:extLst>
        </c:dLbl>
      </c:pivotFmt>
      <c:pivotFmt>
        <c:idx val="1"/>
      </c:pivotFmt>
      <c:pivotFmt>
        <c:idx val="2"/>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3"/>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4"/>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5"/>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
        <c:idx val="6"/>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pivotFmt>
    </c:pivotFmts>
    <c:plotArea>
      <c:layout/>
      <c:pieChart>
        <c:varyColors val="1"/>
        <c:ser>
          <c:idx val="0"/>
          <c:order val="0"/>
          <c:tx>
            <c:strRef>
              <c:f>DASHBOARD!$H$3</c:f>
              <c:strCache>
                <c:ptCount val="1"/>
                <c:pt idx="0">
                  <c:v>Total</c:v>
                </c:pt>
              </c:strCache>
            </c:strRef>
          </c:tx>
          <c:dPt>
            <c:idx val="0"/>
            <c:bubble3D val="0"/>
            <c:spPr>
              <a:gradFill>
                <a:gsLst>
                  <a:gs pos="0">
                    <a:schemeClr val="accent1">
                      <a:shade val="51000"/>
                    </a:schemeClr>
                  </a:gs>
                  <a:gs pos="80000">
                    <a:schemeClr val="accent1">
                      <a:shade val="93000"/>
                    </a:schemeClr>
                  </a:gs>
                  <a:gs pos="100000">
                    <a:schemeClr val="accent1">
                      <a:shade val="94000"/>
                    </a:schemeClr>
                  </a:gs>
                </a:gsLst>
                <a:lin ang="16200000" scaled="0"/>
                <a:tileRect/>
              </a:gradFill>
              <a:ln>
                <a:noFill/>
              </a:ln>
              <a:effectLst/>
            </c:spPr>
            <c:extLst>
              <c:ext xmlns:c16="http://schemas.microsoft.com/office/drawing/2014/chart" uri="{C3380CC4-5D6E-409C-BE32-E72D297353CC}">
                <c16:uniqueId val="{00000001-7BA2-4244-A9FD-8694EAD1F2F0}"/>
              </c:ext>
            </c:extLst>
          </c:dPt>
          <c:dPt>
            <c:idx val="1"/>
            <c:bubble3D val="0"/>
            <c:spPr>
              <a:gradFill>
                <a:gsLst>
                  <a:gs pos="0">
                    <a:schemeClr val="accent2">
                      <a:shade val="51000"/>
                    </a:schemeClr>
                  </a:gs>
                  <a:gs pos="80000">
                    <a:schemeClr val="accent2">
                      <a:shade val="93000"/>
                    </a:schemeClr>
                  </a:gs>
                  <a:gs pos="100000">
                    <a:schemeClr val="accent2">
                      <a:shade val="94000"/>
                    </a:schemeClr>
                  </a:gs>
                </a:gsLst>
                <a:lin ang="16200000" scaled="0"/>
                <a:tileRect/>
              </a:gradFill>
              <a:ln>
                <a:noFill/>
              </a:ln>
              <a:effectLst/>
            </c:spPr>
            <c:extLst>
              <c:ext xmlns:c16="http://schemas.microsoft.com/office/drawing/2014/chart" uri="{C3380CC4-5D6E-409C-BE32-E72D297353CC}">
                <c16:uniqueId val="{00000003-7BA2-4244-A9FD-8694EAD1F2F0}"/>
              </c:ext>
            </c:extLst>
          </c:dPt>
          <c:dPt>
            <c:idx val="2"/>
            <c:bubble3D val="0"/>
            <c:spPr>
              <a:gradFill>
                <a:gsLst>
                  <a:gs pos="0">
                    <a:schemeClr val="accent3">
                      <a:shade val="51000"/>
                    </a:schemeClr>
                  </a:gs>
                  <a:gs pos="80000">
                    <a:schemeClr val="accent3">
                      <a:shade val="93000"/>
                    </a:schemeClr>
                  </a:gs>
                  <a:gs pos="100000">
                    <a:schemeClr val="accent3">
                      <a:shade val="94000"/>
                    </a:schemeClr>
                  </a:gs>
                </a:gsLst>
                <a:lin ang="16200000" scaled="0"/>
                <a:tileRect/>
              </a:gradFill>
              <a:ln>
                <a:noFill/>
              </a:ln>
              <a:effectLst/>
            </c:spPr>
            <c:extLst>
              <c:ext xmlns:c16="http://schemas.microsoft.com/office/drawing/2014/chart" uri="{C3380CC4-5D6E-409C-BE32-E72D297353CC}">
                <c16:uniqueId val="{00000002-199F-416E-A060-F9F9D1ED94E8}"/>
              </c:ext>
            </c:extLst>
          </c:dPt>
          <c:dPt>
            <c:idx val="3"/>
            <c:bubble3D val="0"/>
            <c:spPr>
              <a:gradFill>
                <a:gsLst>
                  <a:gs pos="0">
                    <a:schemeClr val="accent4">
                      <a:shade val="51000"/>
                    </a:schemeClr>
                  </a:gs>
                  <a:gs pos="80000">
                    <a:schemeClr val="accent4">
                      <a:shade val="93000"/>
                    </a:schemeClr>
                  </a:gs>
                  <a:gs pos="100000">
                    <a:schemeClr val="accent4">
                      <a:shade val="94000"/>
                    </a:schemeClr>
                  </a:gs>
                </a:gsLst>
                <a:lin ang="16200000" scaled="0"/>
                <a:tileRect/>
              </a:gradFill>
              <a:ln>
                <a:noFill/>
              </a:ln>
              <a:effectLst/>
            </c:spPr>
            <c:extLst>
              <c:ext xmlns:c16="http://schemas.microsoft.com/office/drawing/2014/chart" uri="{C3380CC4-5D6E-409C-BE32-E72D297353CC}">
                <c16:uniqueId val="{00000007-7BA2-4244-A9FD-8694EAD1F2F0}"/>
              </c:ext>
            </c:extLst>
          </c:dPt>
          <c:dPt>
            <c:idx val="4"/>
            <c:bubble3D val="0"/>
            <c:spPr>
              <a:gradFill>
                <a:gsLst>
                  <a:gs pos="0">
                    <a:schemeClr val="accent5">
                      <a:shade val="51000"/>
                    </a:schemeClr>
                  </a:gs>
                  <a:gs pos="80000">
                    <a:schemeClr val="accent5">
                      <a:shade val="93000"/>
                    </a:schemeClr>
                  </a:gs>
                  <a:gs pos="100000">
                    <a:schemeClr val="accent5">
                      <a:shade val="94000"/>
                    </a:schemeClr>
                  </a:gs>
                </a:gsLst>
                <a:lin ang="16200000" scaled="0"/>
                <a:tileRect/>
              </a:gradFill>
              <a:ln>
                <a:noFill/>
              </a:ln>
              <a:effectLst/>
            </c:spPr>
            <c:extLst>
              <c:ext xmlns:c16="http://schemas.microsoft.com/office/drawing/2014/chart" uri="{C3380CC4-5D6E-409C-BE32-E72D297353CC}">
                <c16:uniqueId val="{00000009-7BA2-4244-A9FD-8694EAD1F2F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extLst>
          </c:dLbls>
          <c:cat>
            <c:strRef>
              <c:f>DASHBOARD!$G$4:$G$8</c:f>
              <c:strCache>
                <c:ptCount val="5"/>
                <c:pt idx="0">
                  <c:v>Alok Iyer</c:v>
                </c:pt>
                <c:pt idx="1">
                  <c:v>Karan Rao</c:v>
                </c:pt>
                <c:pt idx="2">
                  <c:v>Manju Joshi</c:v>
                </c:pt>
                <c:pt idx="3">
                  <c:v>Rahul Singh</c:v>
                </c:pt>
                <c:pt idx="4">
                  <c:v>Vandana Verma</c:v>
                </c:pt>
              </c:strCache>
            </c:strRef>
          </c:cat>
          <c:val>
            <c:numRef>
              <c:f>DASHBOARD!$H$4:$H$8</c:f>
              <c:numCache>
                <c:formatCode>0.0%</c:formatCode>
                <c:ptCount val="5"/>
                <c:pt idx="0">
                  <c:v>0.65400000000000003</c:v>
                </c:pt>
                <c:pt idx="1">
                  <c:v>0.77</c:v>
                </c:pt>
                <c:pt idx="2">
                  <c:v>0.67800000000000005</c:v>
                </c:pt>
                <c:pt idx="3">
                  <c:v>0.71799999999999997</c:v>
                </c:pt>
                <c:pt idx="4">
                  <c:v>0.70199999999999996</c:v>
                </c:pt>
              </c:numCache>
            </c:numRef>
          </c:val>
          <c:extLst>
            <c:ext xmlns:c16="http://schemas.microsoft.com/office/drawing/2014/chart" uri="{C3380CC4-5D6E-409C-BE32-E72D297353CC}">
              <c16:uniqueId val="{00000000-199F-416E-A060-F9F9D1ED94E8}"/>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[Sales_Report.xlsm]DASHBOARD!PivotTable10</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cat>
            <c:strRef>
              <c:f>DASHBOARD!$J$4:$J$8</c:f>
              <c:strCache>
                <c:ptCount val="5"/>
                <c:pt idx="0">
                  <c:v>Ashok Sharma</c:v>
                </c:pt>
                <c:pt idx="1">
                  <c:v>Divya Patel</c:v>
                </c:pt>
                <c:pt idx="2">
                  <c:v>Rakesh Iyer</c:v>
                </c:pt>
                <c:pt idx="3">
                  <c:v>Sanjay Menon</c:v>
                </c:pt>
                <c:pt idx="4">
                  <c:v>Vikram Rao</c:v>
                </c:pt>
              </c:strCache>
            </c:strRef>
          </c:cat>
          <c:val>
            <c:numRef>
              <c:f>DASHBOARD!$K$4:$K$8</c:f>
              <c:numCache>
                <c:formatCode>0.0%</c:formatCode>
                <c:ptCount val="5"/>
                <c:pt idx="0">
                  <c:v>0.61799999999999999</c:v>
                </c:pt>
                <c:pt idx="1">
                  <c:v>0.61799999999999999</c:v>
                </c:pt>
                <c:pt idx="2">
                  <c:v>0.58200000000000007</c:v>
                </c:pt>
                <c:pt idx="3">
                  <c:v>0.67799999999999994</c:v>
                </c:pt>
                <c:pt idx="4">
                  <c:v>0.60199999999999998</c:v>
                </c:pt>
              </c:numCache>
            </c:numRef>
          </c:val>
          <c:smooth val="0"/>
          <c:extLst>
            <c:ext xmlns:c16="http://schemas.microsoft.com/office/drawing/2014/chart" uri="{C3380CC4-5D6E-409C-BE32-E72D297353CC}">
              <c16:uniqueId val="{00000000-7483-4734-938F-ED1957FD2A56}"/>
            </c:ext>
          </c:extLst>
        </c:ser>
        <c:dLbls>
          <c:showLegendKey val="0"/>
          <c:showVal val="0"/>
          <c:showCatName val="0"/>
          <c:showSerName val="0"/>
          <c:showPercent val="0"/>
          <c:showBubbleSize val="0"/>
        </c:dLbls>
        <c:smooth val="0"/>
        <c:axId val="2011152944"/>
        <c:axId val="82193040"/>
      </c:lineChart>
      <c:catAx>
        <c:axId val="2011152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193040"/>
        <c:crosses val="autoZero"/>
        <c:auto val="1"/>
        <c:lblAlgn val="ctr"/>
        <c:lblOffset val="100"/>
        <c:noMultiLvlLbl val="0"/>
      </c:catAx>
      <c:valAx>
        <c:axId val="82193040"/>
        <c:scaling>
          <c:orientation val="minMax"/>
        </c:scaling>
        <c:delete val="1"/>
        <c:axPos val="l"/>
        <c:numFmt formatCode="0.0%" sourceLinked="1"/>
        <c:majorTickMark val="none"/>
        <c:minorTickMark val="none"/>
        <c:tickLblPos val="nextTo"/>
        <c:crossAx val="20111529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36287</xdr:colOff>
      <xdr:row>8</xdr:row>
      <xdr:rowOff>28423</xdr:rowOff>
    </xdr:from>
    <xdr:to>
      <xdr:col>5</xdr:col>
      <xdr:colOff>6049</xdr:colOff>
      <xdr:row>17</xdr:row>
      <xdr:rowOff>24190</xdr:rowOff>
    </xdr:to>
    <xdr:graphicFrame macro="">
      <xdr:nvGraphicFramePr>
        <xdr:cNvPr id="2" name="Chart 1">
          <a:extLst>
            <a:ext uri="{FF2B5EF4-FFF2-40B4-BE49-F238E27FC236}">
              <a16:creationId xmlns:a16="http://schemas.microsoft.com/office/drawing/2014/main" id="{DE352715-6DD3-27F9-3CF8-F0C47ED82A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405983</xdr:colOff>
      <xdr:row>0</xdr:row>
      <xdr:rowOff>0</xdr:rowOff>
    </xdr:from>
    <xdr:to>
      <xdr:col>10</xdr:col>
      <xdr:colOff>861935</xdr:colOff>
      <xdr:row>1</xdr:row>
      <xdr:rowOff>225103</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912AB5B2-0E9E-1D41-FABE-5BAC5E19E9E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405983" y="0"/>
              <a:ext cx="7610569" cy="4092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156149</xdr:colOff>
      <xdr:row>8</xdr:row>
      <xdr:rowOff>39973</xdr:rowOff>
    </xdr:from>
    <xdr:to>
      <xdr:col>8</xdr:col>
      <xdr:colOff>0</xdr:colOff>
      <xdr:row>17</xdr:row>
      <xdr:rowOff>24984</xdr:rowOff>
    </xdr:to>
    <xdr:graphicFrame macro="">
      <xdr:nvGraphicFramePr>
        <xdr:cNvPr id="7" name="Chart 6">
          <a:extLst>
            <a:ext uri="{FF2B5EF4-FFF2-40B4-BE49-F238E27FC236}">
              <a16:creationId xmlns:a16="http://schemas.microsoft.com/office/drawing/2014/main" id="{AC5FA390-D8AD-4AB7-1693-300F275F28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112427</xdr:colOff>
      <xdr:row>8</xdr:row>
      <xdr:rowOff>33729</xdr:rowOff>
    </xdr:from>
    <xdr:to>
      <xdr:col>10</xdr:col>
      <xdr:colOff>1524000</xdr:colOff>
      <xdr:row>17</xdr:row>
      <xdr:rowOff>31231</xdr:rowOff>
    </xdr:to>
    <xdr:graphicFrame macro="">
      <xdr:nvGraphicFramePr>
        <xdr:cNvPr id="8" name="Chart 7">
          <a:extLst>
            <a:ext uri="{FF2B5EF4-FFF2-40B4-BE49-F238E27FC236}">
              <a16:creationId xmlns:a16="http://schemas.microsoft.com/office/drawing/2014/main" id="{DA901DDD-3D22-F9A9-2A7D-0575905B0A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449704</xdr:colOff>
      <xdr:row>1</xdr:row>
      <xdr:rowOff>281065</xdr:rowOff>
    </xdr:from>
    <xdr:to>
      <xdr:col>1</xdr:col>
      <xdr:colOff>393490</xdr:colOff>
      <xdr:row>1</xdr:row>
      <xdr:rowOff>724523</xdr:rowOff>
    </xdr:to>
    <xdr:sp macro="" textlink="">
      <xdr:nvSpPr>
        <xdr:cNvPr id="9" name="Callout: Up Arrow 8">
          <a:extLst>
            <a:ext uri="{FF2B5EF4-FFF2-40B4-BE49-F238E27FC236}">
              <a16:creationId xmlns:a16="http://schemas.microsoft.com/office/drawing/2014/main" id="{5A4DAAC2-8BDC-B0B0-D692-D2C2CB95F84F}"/>
            </a:ext>
          </a:extLst>
        </xdr:cNvPr>
        <xdr:cNvSpPr/>
      </xdr:nvSpPr>
      <xdr:spPr>
        <a:xfrm rot="10800000">
          <a:off x="449704" y="462196"/>
          <a:ext cx="1074294" cy="443458"/>
        </a:xfrm>
        <a:prstGeom prst="upArrowCallout">
          <a:avLst/>
        </a:prstGeom>
        <a:solidFill>
          <a:schemeClr val="accent4">
            <a:lumMod val="40000"/>
            <a:lumOff val="60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556260</xdr:colOff>
          <xdr:row>1</xdr:row>
          <xdr:rowOff>297180</xdr:rowOff>
        </xdr:from>
        <xdr:to>
          <xdr:col>1</xdr:col>
          <xdr:colOff>152400</xdr:colOff>
          <xdr:row>1</xdr:row>
          <xdr:rowOff>510540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364759</xdr:colOff>
      <xdr:row>1</xdr:row>
      <xdr:rowOff>271072</xdr:rowOff>
    </xdr:from>
    <xdr:to>
      <xdr:col>4</xdr:col>
      <xdr:colOff>395988</xdr:colOff>
      <xdr:row>1</xdr:row>
      <xdr:rowOff>714530</xdr:rowOff>
    </xdr:to>
    <xdr:sp macro="" textlink="">
      <xdr:nvSpPr>
        <xdr:cNvPr id="11" name="Callout: Up Arrow 10">
          <a:extLst>
            <a:ext uri="{FF2B5EF4-FFF2-40B4-BE49-F238E27FC236}">
              <a16:creationId xmlns:a16="http://schemas.microsoft.com/office/drawing/2014/main" id="{7999FE9E-3094-4CAF-9DF4-B2A38309226F}"/>
            </a:ext>
          </a:extLst>
        </xdr:cNvPr>
        <xdr:cNvSpPr/>
      </xdr:nvSpPr>
      <xdr:spPr>
        <a:xfrm rot="10800000">
          <a:off x="2363448" y="452203"/>
          <a:ext cx="1074294" cy="443458"/>
        </a:xfrm>
        <a:prstGeom prst="upArrowCallout">
          <a:avLst/>
        </a:prstGeom>
        <a:solidFill>
          <a:schemeClr val="accent4">
            <a:lumMod val="40000"/>
            <a:lumOff val="60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472440</xdr:colOff>
          <xdr:row>1</xdr:row>
          <xdr:rowOff>289560</xdr:rowOff>
        </xdr:from>
        <xdr:to>
          <xdr:col>4</xdr:col>
          <xdr:colOff>152400</xdr:colOff>
          <xdr:row>1</xdr:row>
          <xdr:rowOff>502920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548389</xdr:colOff>
      <xdr:row>1</xdr:row>
      <xdr:rowOff>273570</xdr:rowOff>
    </xdr:from>
    <xdr:to>
      <xdr:col>7</xdr:col>
      <xdr:colOff>610847</xdr:colOff>
      <xdr:row>1</xdr:row>
      <xdr:rowOff>717028</xdr:rowOff>
    </xdr:to>
    <xdr:sp macro="" textlink="">
      <xdr:nvSpPr>
        <xdr:cNvPr id="12" name="Callout: Up Arrow 11">
          <a:extLst>
            <a:ext uri="{FF2B5EF4-FFF2-40B4-BE49-F238E27FC236}">
              <a16:creationId xmlns:a16="http://schemas.microsoft.com/office/drawing/2014/main" id="{7BF479EC-5F20-4A28-8312-2A7CC5E172DE}"/>
            </a:ext>
          </a:extLst>
        </xdr:cNvPr>
        <xdr:cNvSpPr/>
      </xdr:nvSpPr>
      <xdr:spPr>
        <a:xfrm rot="10800000">
          <a:off x="4527028" y="454701"/>
          <a:ext cx="1074294" cy="443458"/>
        </a:xfrm>
        <a:prstGeom prst="upArrowCallout">
          <a:avLst/>
        </a:prstGeom>
        <a:solidFill>
          <a:schemeClr val="accent4">
            <a:lumMod val="40000"/>
            <a:lumOff val="60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655320</xdr:colOff>
          <xdr:row>1</xdr:row>
          <xdr:rowOff>289560</xdr:rowOff>
        </xdr:from>
        <xdr:to>
          <xdr:col>7</xdr:col>
          <xdr:colOff>365760</xdr:colOff>
          <xdr:row>1</xdr:row>
          <xdr:rowOff>502920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719526</xdr:colOff>
      <xdr:row>1</xdr:row>
      <xdr:rowOff>282314</xdr:rowOff>
    </xdr:from>
    <xdr:to>
      <xdr:col>10</xdr:col>
      <xdr:colOff>825706</xdr:colOff>
      <xdr:row>2</xdr:row>
      <xdr:rowOff>1247</xdr:rowOff>
    </xdr:to>
    <xdr:sp macro="" textlink="">
      <xdr:nvSpPr>
        <xdr:cNvPr id="14" name="Callout: Up Arrow 13">
          <a:extLst>
            <a:ext uri="{FF2B5EF4-FFF2-40B4-BE49-F238E27FC236}">
              <a16:creationId xmlns:a16="http://schemas.microsoft.com/office/drawing/2014/main" id="{DF193554-42BA-4476-A96B-ADC144219DE2}"/>
            </a:ext>
          </a:extLst>
        </xdr:cNvPr>
        <xdr:cNvSpPr/>
      </xdr:nvSpPr>
      <xdr:spPr>
        <a:xfrm rot="10800000">
          <a:off x="6902969" y="463445"/>
          <a:ext cx="1074294" cy="443458"/>
        </a:xfrm>
        <a:prstGeom prst="upArrowCallout">
          <a:avLst/>
        </a:prstGeom>
        <a:solidFill>
          <a:schemeClr val="accent4">
            <a:lumMod val="40000"/>
            <a:lumOff val="60000"/>
          </a:schemeClr>
        </a:solidFill>
        <a:ln w="1270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822960</xdr:colOff>
          <xdr:row>1</xdr:row>
          <xdr:rowOff>297180</xdr:rowOff>
        </xdr:from>
        <xdr:to>
          <xdr:col>10</xdr:col>
          <xdr:colOff>586740</xdr:colOff>
          <xdr:row>1</xdr:row>
          <xdr:rowOff>510540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Pillewan" refreshedDate="46220.735929166665" createdVersion="8" refreshedVersion="8" minRefreshableVersion="3" recordCount="183" xr:uid="{EE9208D8-04CA-4338-A346-4CE3B3A65D38}">
  <cacheSource type="worksheet">
    <worksheetSource ref="A1:L184" sheet="RAW DATA"/>
  </cacheSource>
  <cacheFields count="12">
    <cacheField name="Emp Code" numFmtId="0">
      <sharedItems/>
    </cacheField>
    <cacheField name="Sales Executive" numFmtId="0">
      <sharedItems count="183">
        <s v="Dinesh Singh"/>
        <s v="Poonam Pillai"/>
        <s v="Manoj Bhatt"/>
        <s v="Sandeep Menon"/>
        <s v="Kavita Mehta"/>
        <s v="Deepak Verma"/>
        <s v="Dinesh Agarwal"/>
        <s v="Anjali Nair"/>
        <s v="Vivek Reddy"/>
        <s v="Rakesh Iyer"/>
        <s v="Anita Iyer"/>
        <s v="Usha Rao"/>
        <s v="Poonam Menon"/>
        <s v="Sunita Gupta"/>
        <s v="Rakesh Agarwal"/>
        <s v="Prakash Iyer"/>
        <s v="Rajesh Iyer"/>
        <s v="Suresh Patel"/>
        <s v="Priya Singh"/>
        <s v="Anjali Desai"/>
        <s v="Deepak Bhatt"/>
        <s v="Vijay Chopra"/>
        <s v="Nisha Sharma"/>
        <s v="Manju Verma"/>
        <s v="Swati Desai"/>
        <s v="Ashok Kapoor"/>
        <s v="Rekha Verma"/>
        <s v="Suresh Pillai"/>
        <s v="Vikram Rao"/>
        <s v="Arjun Kapoor"/>
        <s v="Amit Malhotra"/>
        <s v="Suresh Joshi"/>
        <s v="Sneha Menon"/>
        <s v="Divya Gupta"/>
        <s v="Kiran Agarwal"/>
        <s v="Deepak Reddy"/>
        <s v="Sanjay Gupta"/>
        <s v="Naveen Iyer"/>
        <s v="Sandeep Pillai"/>
        <s v="Deepak Singh"/>
        <s v="Nisha Reddy"/>
        <s v="Preeti Iyer"/>
        <s v="Rahul Chopra"/>
        <s v="Shalini Verma"/>
        <s v="Seema Patel"/>
        <s v="Nisha Kapoor"/>
        <s v="Manoj Reddy"/>
        <s v="Suresh Malhotra"/>
        <s v="Lata Pillai"/>
        <s v="Rahul Singh"/>
        <s v="Rakesh Menon"/>
        <s v="Lata Reddy"/>
        <s v="Meena Bhatt"/>
        <s v="Suresh Kapoor"/>
        <s v="Meena Joshi"/>
        <s v="Priya Verma"/>
        <s v="Manju Malhotra"/>
        <s v="Manoj Kumar"/>
        <s v="Karan Rao"/>
        <s v="Sandeep Kumar"/>
        <s v="Dinesh Nair"/>
        <s v="Sanjay Pillai"/>
        <s v="Kavita Gupta"/>
        <s v="Kavita Kapoor"/>
        <s v="Vivek Joshi"/>
        <s v="Swati Kapoor"/>
        <s v="Karan Agarwal"/>
        <s v="Usha Kapoor"/>
        <s v="Kavita Rao"/>
        <s v="Ashok Sharma"/>
        <s v="Ritu Reddy"/>
        <s v="Kiran Sharma"/>
        <s v="Sunil Nair"/>
        <s v="Preeti Chopra"/>
        <s v="Prakash Desai"/>
        <s v="Swati Rao"/>
        <s v="Sanjay Kumar"/>
        <s v="Sunil Iyer"/>
        <s v="Gaurav Desai"/>
        <s v="Ajay Nair"/>
        <s v="Geeta Chopra"/>
        <s v="Deepak Nair"/>
        <s v="Kavita Desai"/>
        <s v="Manoj Chopra"/>
        <s v="Sneha Pillai"/>
        <s v="Ashok Desai"/>
        <s v="Vikram Malhotra"/>
        <s v="Meena Gupta"/>
        <s v="Sandeep Rao"/>
        <s v="Poonam Singh"/>
        <s v="Vandana Gupta"/>
        <s v="Manoj Joshi"/>
        <s v="Sneha Kumar"/>
        <s v="Meena Malhotra"/>
        <s v="Rahul Kapoor"/>
        <s v="Priya Iyer"/>
        <s v="Divya Menon"/>
        <s v="Sanjay Singh"/>
        <s v="Rahul Rao"/>
        <s v="Amit Pillai"/>
        <s v="Alok Desai"/>
        <s v="Sandeep Desai"/>
        <s v="Vandana Kapoor"/>
        <s v="Manju Joshi"/>
        <s v="Vandana Patel"/>
        <s v="Nisha Bhatt"/>
        <s v="Sunita Patel"/>
        <s v="Rakesh Rao"/>
        <s v="Rahul Mehta"/>
        <s v="Naveen Menon"/>
        <s v="Rajesh Patel"/>
        <s v="Sunil Malhotra"/>
        <s v="Rahul Agarwal"/>
        <s v="Alok Singh"/>
        <s v="Ajay Chopra"/>
        <s v="Lata Kumar"/>
        <s v="Pooja Nair"/>
        <s v="Amit Menon"/>
        <s v="Suresh Agarwal"/>
        <s v="Kiran Chopra"/>
        <s v="Karan Pillai"/>
        <s v="Ajay Mehta"/>
        <s v="Shalini Gupta"/>
        <s v="Lata Iyer"/>
        <s v="Seema Pillai"/>
        <s v="Karan Verma"/>
        <s v="Karan Malhotra"/>
        <s v="Usha Singh"/>
        <s v="Sandeep Nair"/>
        <s v="Swati Reddy"/>
        <s v="Ritu Patel"/>
        <s v="Manoj Mehta"/>
        <s v="Divya Singh"/>
        <s v="Priya Kumar"/>
        <s v="Vikram Desai"/>
        <s v="Manoj Agarwal"/>
        <s v="Anita Kapoor"/>
        <s v="Pooja Gupta"/>
        <s v="Geeta Joshi"/>
        <s v="Rajesh Singh"/>
        <s v="Ashok Gupta"/>
        <s v="Vandana Verma"/>
        <s v="Vijay Kapoor"/>
        <s v="Kavita Patel"/>
        <s v="Alok Iyer"/>
        <s v="Vijay Iyer"/>
        <s v="Divya Patel"/>
        <s v="Kavita Malhotra"/>
        <s v="Sanjay Menon"/>
        <s v="Anjali Iyer"/>
        <s v="Alok Bhatt"/>
        <s v="Anita Verma"/>
        <s v="Ramesh Malhotra"/>
        <s v="Seema Rao"/>
        <s v="Anita Bhatt"/>
        <s v="Vikram Bhatt"/>
        <s v="Usha Patel"/>
        <s v="Ramesh Agarwal"/>
        <s v="Dinesh Joshi"/>
        <s v="Rekha Rao"/>
        <s v="Mahesh Bhatt"/>
        <s v="Usha Reddy"/>
        <s v="Nisha Gupta"/>
        <s v="Geeta Agarwal"/>
        <s v="Lata Agarwal"/>
        <s v="Rakesh Joshi"/>
        <s v="Vijay Bhatt"/>
        <s v="Divya Reddy"/>
        <s v="Ajay Singh"/>
        <s v="Rakesh Patel"/>
        <s v="Lata Nair"/>
        <s v="Ashok Reddy"/>
        <s v="Geeta Kapoor"/>
        <s v="Vandana Singh"/>
        <s v="Naveen Patel"/>
        <s v="Sneha Malhotra"/>
        <s v="Priya Mehta"/>
        <s v="Sunil Patel"/>
        <s v="Pooja Pillai"/>
        <s v="Neha Verma"/>
        <s v="Prakash Sharma"/>
        <s v="Seema Chopra"/>
        <s v="Rahul Malhotra"/>
      </sharedItems>
    </cacheField>
    <cacheField name="Region" numFmtId="0">
      <sharedItems count="5">
        <s v="Maharashtra"/>
        <s v="Uttar Pradesh"/>
        <s v="Tamil Nadu"/>
        <s v="Gujarat"/>
        <s v="Karnataka"/>
      </sharedItems>
    </cacheField>
    <cacheField name="Day 1" numFmtId="3">
      <sharedItems containsSemiMixedTypes="0" containsString="0" containsNumber="1" containsInteger="1" minValue="20" maxValue="95"/>
    </cacheField>
    <cacheField name="Day 2" numFmtId="3">
      <sharedItems containsSemiMixedTypes="0" containsString="0" containsNumber="1" containsInteger="1" minValue="20" maxValue="95"/>
    </cacheField>
    <cacheField name="Day 3" numFmtId="3">
      <sharedItems containsSemiMixedTypes="0" containsString="0" containsNumber="1" containsInteger="1" minValue="21" maxValue="95"/>
    </cacheField>
    <cacheField name="Day 4" numFmtId="3">
      <sharedItems containsSemiMixedTypes="0" containsString="0" containsNumber="1" containsInteger="1" minValue="20" maxValue="95"/>
    </cacheField>
    <cacheField name="Day 5" numFmtId="3">
      <sharedItems containsSemiMixedTypes="0" containsString="0" containsNumber="1" containsInteger="1" minValue="20" maxValue="95"/>
    </cacheField>
    <cacheField name="Total Sales" numFmtId="3">
      <sharedItems containsSemiMixedTypes="0" containsString="0" containsNumber="1" containsInteger="1" minValue="161" maxValue="391"/>
    </cacheField>
    <cacheField name="Target" numFmtId="3">
      <sharedItems containsSemiMixedTypes="0" containsString="0" containsNumber="1" containsInteger="1" minValue="500" maxValue="500"/>
    </cacheField>
    <cacheField name="Target Hit %" numFmtId="164">
      <sharedItems containsSemiMixedTypes="0" containsString="0" containsNumber="1" minValue="0.32200000000000001" maxValue="0.78200000000000003"/>
    </cacheField>
    <cacheField name="Away From Target %" numFmtId="164">
      <sharedItems containsSemiMixedTypes="0" containsString="0" containsNumber="1" minValue="0.21799999999999997" maxValue="0.67799999999999994"/>
    </cacheField>
  </cacheFields>
  <extLst>
    <ext xmlns:x14="http://schemas.microsoft.com/office/spreadsheetml/2009/9/main" uri="{725AE2AE-9491-48be-B2B4-4EB974FC3084}">
      <x14:pivotCacheDefinition pivotCacheId="14364556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s v="EMP1000"/>
    <x v="0"/>
    <x v="0"/>
    <n v="55"/>
    <n v="51"/>
    <n v="48"/>
    <n v="37"/>
    <n v="33"/>
    <n v="224"/>
    <n v="500"/>
    <n v="0.44800000000000001"/>
    <n v="0.55200000000000005"/>
  </r>
  <r>
    <s v="EMP1001"/>
    <x v="1"/>
    <x v="0"/>
    <n v="95"/>
    <n v="74"/>
    <n v="24"/>
    <n v="23"/>
    <n v="31"/>
    <n v="247"/>
    <n v="500"/>
    <n v="0.49399999999999999"/>
    <n v="0.50600000000000001"/>
  </r>
  <r>
    <s v="EMP1002"/>
    <x v="2"/>
    <x v="1"/>
    <n v="23"/>
    <n v="91"/>
    <n v="45"/>
    <n v="89"/>
    <n v="73"/>
    <n v="321"/>
    <n v="500"/>
    <n v="0.64200000000000002"/>
    <n v="0.35799999999999998"/>
  </r>
  <r>
    <s v="EMP1003"/>
    <x v="3"/>
    <x v="2"/>
    <n v="20"/>
    <n v="40"/>
    <n v="74"/>
    <n v="63"/>
    <n v="55"/>
    <n v="252"/>
    <n v="500"/>
    <n v="0.504"/>
    <n v="0.496"/>
  </r>
  <r>
    <s v="EMP1004"/>
    <x v="4"/>
    <x v="0"/>
    <n v="31"/>
    <n v="68"/>
    <n v="32"/>
    <n v="65"/>
    <n v="64"/>
    <n v="260"/>
    <n v="500"/>
    <n v="0.52"/>
    <n v="0.48"/>
  </r>
  <r>
    <s v="EMP1005"/>
    <x v="5"/>
    <x v="3"/>
    <n v="88"/>
    <n v="35"/>
    <n v="68"/>
    <n v="30"/>
    <n v="90"/>
    <n v="311"/>
    <n v="500"/>
    <n v="0.622"/>
    <n v="0.378"/>
  </r>
  <r>
    <s v="EMP1006"/>
    <x v="6"/>
    <x v="2"/>
    <n v="93"/>
    <n v="44"/>
    <n v="28"/>
    <n v="25"/>
    <n v="49"/>
    <n v="239"/>
    <n v="500"/>
    <n v="0.47799999999999998"/>
    <n v="0.52200000000000002"/>
  </r>
  <r>
    <s v="EMP1007"/>
    <x v="7"/>
    <x v="0"/>
    <n v="68"/>
    <n v="55"/>
    <n v="78"/>
    <n v="66"/>
    <n v="40"/>
    <n v="307"/>
    <n v="500"/>
    <n v="0.61399999999999999"/>
    <n v="0.38600000000000001"/>
  </r>
  <r>
    <s v="EMP1008"/>
    <x v="8"/>
    <x v="2"/>
    <n v="29"/>
    <n v="41"/>
    <n v="88"/>
    <n v="51"/>
    <n v="40"/>
    <n v="249"/>
    <n v="500"/>
    <n v="0.498"/>
    <n v="0.502"/>
  </r>
  <r>
    <s v="EMP1009"/>
    <x v="9"/>
    <x v="1"/>
    <n v="48"/>
    <n v="61"/>
    <n v="27"/>
    <n v="49"/>
    <n v="24"/>
    <n v="209"/>
    <n v="500"/>
    <n v="0.41799999999999998"/>
    <n v="0.58200000000000007"/>
  </r>
  <r>
    <s v="EMP1010"/>
    <x v="10"/>
    <x v="0"/>
    <n v="47"/>
    <n v="92"/>
    <n v="60"/>
    <n v="47"/>
    <n v="83"/>
    <n v="329"/>
    <n v="500"/>
    <n v="0.65800000000000003"/>
    <n v="0.34199999999999997"/>
  </r>
  <r>
    <s v="EMP1011"/>
    <x v="11"/>
    <x v="4"/>
    <n v="53"/>
    <n v="37"/>
    <n v="51"/>
    <n v="91"/>
    <n v="88"/>
    <n v="320"/>
    <n v="500"/>
    <n v="0.64"/>
    <n v="0.36"/>
  </r>
  <r>
    <s v="EMP1012"/>
    <x v="12"/>
    <x v="3"/>
    <n v="94"/>
    <n v="71"/>
    <n v="66"/>
    <n v="48"/>
    <n v="37"/>
    <n v="316"/>
    <n v="500"/>
    <n v="0.63200000000000001"/>
    <n v="0.36799999999999999"/>
  </r>
  <r>
    <s v="EMP1013"/>
    <x v="13"/>
    <x v="0"/>
    <n v="34"/>
    <n v="39"/>
    <n v="40"/>
    <n v="74"/>
    <n v="28"/>
    <n v="215"/>
    <n v="500"/>
    <n v="0.43"/>
    <n v="0.57000000000000006"/>
  </r>
  <r>
    <s v="EMP1014"/>
    <x v="14"/>
    <x v="3"/>
    <n v="87"/>
    <n v="52"/>
    <n v="90"/>
    <n v="21"/>
    <n v="34"/>
    <n v="284"/>
    <n v="500"/>
    <n v="0.56799999999999995"/>
    <n v="0.43200000000000005"/>
  </r>
  <r>
    <s v="EMP1015"/>
    <x v="15"/>
    <x v="2"/>
    <n v="34"/>
    <n v="57"/>
    <n v="75"/>
    <n v="40"/>
    <n v="78"/>
    <n v="284"/>
    <n v="500"/>
    <n v="0.56799999999999995"/>
    <n v="0.43200000000000005"/>
  </r>
  <r>
    <s v="EMP1016"/>
    <x v="16"/>
    <x v="1"/>
    <n v="42"/>
    <n v="84"/>
    <n v="33"/>
    <n v="58"/>
    <n v="84"/>
    <n v="301"/>
    <n v="500"/>
    <n v="0.60199999999999998"/>
    <n v="0.39800000000000002"/>
  </r>
  <r>
    <s v="EMP1017"/>
    <x v="17"/>
    <x v="2"/>
    <n v="40"/>
    <n v="89"/>
    <n v="87"/>
    <n v="20"/>
    <n v="61"/>
    <n v="297"/>
    <n v="500"/>
    <n v="0.59399999999999997"/>
    <n v="0.40600000000000003"/>
  </r>
  <r>
    <s v="EMP1018"/>
    <x v="18"/>
    <x v="2"/>
    <n v="59"/>
    <n v="50"/>
    <n v="27"/>
    <n v="50"/>
    <n v="92"/>
    <n v="278"/>
    <n v="500"/>
    <n v="0.55600000000000005"/>
    <n v="0.44399999999999995"/>
  </r>
  <r>
    <s v="EMP1019"/>
    <x v="19"/>
    <x v="0"/>
    <n v="88"/>
    <n v="36"/>
    <n v="36"/>
    <n v="80"/>
    <n v="90"/>
    <n v="330"/>
    <n v="500"/>
    <n v="0.66"/>
    <n v="0.33999999999999997"/>
  </r>
  <r>
    <s v="EMP1020"/>
    <x v="20"/>
    <x v="1"/>
    <n v="74"/>
    <n v="47"/>
    <n v="89"/>
    <n v="45"/>
    <n v="59"/>
    <n v="314"/>
    <n v="500"/>
    <n v="0.628"/>
    <n v="0.372"/>
  </r>
  <r>
    <s v="EMP1021"/>
    <x v="21"/>
    <x v="3"/>
    <n v="86"/>
    <n v="77"/>
    <n v="35"/>
    <n v="51"/>
    <n v="48"/>
    <n v="297"/>
    <n v="500"/>
    <n v="0.59399999999999997"/>
    <n v="0.40600000000000003"/>
  </r>
  <r>
    <s v="EMP1022"/>
    <x v="22"/>
    <x v="1"/>
    <n v="90"/>
    <n v="49"/>
    <n v="95"/>
    <n v="48"/>
    <n v="20"/>
    <n v="302"/>
    <n v="500"/>
    <n v="0.60399999999999998"/>
    <n v="0.39600000000000002"/>
  </r>
  <r>
    <s v="EMP1023"/>
    <x v="23"/>
    <x v="4"/>
    <n v="28"/>
    <n v="24"/>
    <n v="62"/>
    <n v="29"/>
    <n v="85"/>
    <n v="228"/>
    <n v="500"/>
    <n v="0.45600000000000002"/>
    <n v="0.54400000000000004"/>
  </r>
  <r>
    <s v="EMP1024"/>
    <x v="24"/>
    <x v="4"/>
    <n v="89"/>
    <n v="36"/>
    <n v="93"/>
    <n v="93"/>
    <n v="80"/>
    <n v="391"/>
    <n v="500"/>
    <n v="0.78200000000000003"/>
    <n v="0.21799999999999997"/>
  </r>
  <r>
    <s v="EMP1025"/>
    <x v="25"/>
    <x v="4"/>
    <n v="32"/>
    <n v="32"/>
    <n v="75"/>
    <n v="65"/>
    <n v="74"/>
    <n v="278"/>
    <n v="500"/>
    <n v="0.55600000000000005"/>
    <n v="0.44399999999999995"/>
  </r>
  <r>
    <s v="EMP1026"/>
    <x v="26"/>
    <x v="0"/>
    <n v="27"/>
    <n v="71"/>
    <n v="63"/>
    <n v="33"/>
    <n v="51"/>
    <n v="245"/>
    <n v="500"/>
    <n v="0.49"/>
    <n v="0.51"/>
  </r>
  <r>
    <s v="EMP1027"/>
    <x v="27"/>
    <x v="3"/>
    <n v="37"/>
    <n v="74"/>
    <n v="43"/>
    <n v="55"/>
    <n v="79"/>
    <n v="288"/>
    <n v="500"/>
    <n v="0.57599999999999996"/>
    <n v="0.42400000000000004"/>
  </r>
  <r>
    <s v="EMP1028"/>
    <x v="28"/>
    <x v="1"/>
    <n v="32"/>
    <n v="26"/>
    <n v="89"/>
    <n v="21"/>
    <n v="31"/>
    <n v="199"/>
    <n v="500"/>
    <n v="0.39800000000000002"/>
    <n v="0.60199999999999998"/>
  </r>
  <r>
    <s v="EMP1029"/>
    <x v="29"/>
    <x v="3"/>
    <n v="81"/>
    <n v="47"/>
    <n v="71"/>
    <n v="27"/>
    <n v="41"/>
    <n v="267"/>
    <n v="500"/>
    <n v="0.53400000000000003"/>
    <n v="0.46599999999999997"/>
  </r>
  <r>
    <s v="EMP1030"/>
    <x v="30"/>
    <x v="2"/>
    <n v="78"/>
    <n v="56"/>
    <n v="74"/>
    <n v="91"/>
    <n v="82"/>
    <n v="381"/>
    <n v="500"/>
    <n v="0.76200000000000001"/>
    <n v="0.23799999999999999"/>
  </r>
  <r>
    <s v="EMP1031"/>
    <x v="31"/>
    <x v="4"/>
    <n v="27"/>
    <n v="94"/>
    <n v="89"/>
    <n v="27"/>
    <n v="60"/>
    <n v="297"/>
    <n v="500"/>
    <n v="0.59399999999999997"/>
    <n v="0.40600000000000003"/>
  </r>
  <r>
    <s v="EMP1032"/>
    <x v="32"/>
    <x v="3"/>
    <n v="84"/>
    <n v="87"/>
    <n v="40"/>
    <n v="27"/>
    <n v="85"/>
    <n v="323"/>
    <n v="500"/>
    <n v="0.64600000000000002"/>
    <n v="0.35399999999999998"/>
  </r>
  <r>
    <s v="EMP1033"/>
    <x v="33"/>
    <x v="1"/>
    <n v="28"/>
    <n v="50"/>
    <n v="71"/>
    <n v="35"/>
    <n v="92"/>
    <n v="276"/>
    <n v="500"/>
    <n v="0.55200000000000005"/>
    <n v="0.44799999999999995"/>
  </r>
  <r>
    <s v="EMP1034"/>
    <x v="34"/>
    <x v="0"/>
    <n v="30"/>
    <n v="73"/>
    <n v="94"/>
    <n v="92"/>
    <n v="86"/>
    <n v="375"/>
    <n v="500"/>
    <n v="0.75"/>
    <n v="0.25"/>
  </r>
  <r>
    <s v="EMP1035"/>
    <x v="35"/>
    <x v="2"/>
    <n v="50"/>
    <n v="53"/>
    <n v="70"/>
    <n v="36"/>
    <n v="58"/>
    <n v="267"/>
    <n v="500"/>
    <n v="0.53400000000000003"/>
    <n v="0.46599999999999997"/>
  </r>
  <r>
    <s v="EMP1036"/>
    <x v="36"/>
    <x v="0"/>
    <n v="78"/>
    <n v="92"/>
    <n v="32"/>
    <n v="29"/>
    <n v="88"/>
    <n v="319"/>
    <n v="500"/>
    <n v="0.63800000000000001"/>
    <n v="0.36199999999999999"/>
  </r>
  <r>
    <s v="EMP1037"/>
    <x v="37"/>
    <x v="4"/>
    <n v="64"/>
    <n v="28"/>
    <n v="51"/>
    <n v="67"/>
    <n v="56"/>
    <n v="266"/>
    <n v="500"/>
    <n v="0.53200000000000003"/>
    <n v="0.46799999999999997"/>
  </r>
  <r>
    <s v="EMP1038"/>
    <x v="38"/>
    <x v="2"/>
    <n v="87"/>
    <n v="21"/>
    <n v="90"/>
    <n v="58"/>
    <n v="33"/>
    <n v="289"/>
    <n v="500"/>
    <n v="0.57799999999999996"/>
    <n v="0.42200000000000004"/>
  </r>
  <r>
    <s v="EMP1039"/>
    <x v="39"/>
    <x v="0"/>
    <n v="90"/>
    <n v="39"/>
    <n v="54"/>
    <n v="56"/>
    <n v="46"/>
    <n v="285"/>
    <n v="500"/>
    <n v="0.56999999999999995"/>
    <n v="0.43000000000000005"/>
  </r>
  <r>
    <s v="EMP1040"/>
    <x v="40"/>
    <x v="2"/>
    <n v="84"/>
    <n v="82"/>
    <n v="52"/>
    <n v="26"/>
    <n v="31"/>
    <n v="275"/>
    <n v="500"/>
    <n v="0.55000000000000004"/>
    <n v="0.44999999999999996"/>
  </r>
  <r>
    <s v="EMP1041"/>
    <x v="41"/>
    <x v="0"/>
    <n v="20"/>
    <n v="62"/>
    <n v="36"/>
    <n v="53"/>
    <n v="40"/>
    <n v="211"/>
    <n v="500"/>
    <n v="0.42199999999999999"/>
    <n v="0.57800000000000007"/>
  </r>
  <r>
    <s v="EMP1043"/>
    <x v="42"/>
    <x v="1"/>
    <n v="90"/>
    <n v="38"/>
    <n v="75"/>
    <n v="36"/>
    <n v="25"/>
    <n v="264"/>
    <n v="500"/>
    <n v="0.52800000000000002"/>
    <n v="0.47199999999999998"/>
  </r>
  <r>
    <s v="EMP1044"/>
    <x v="43"/>
    <x v="2"/>
    <n v="46"/>
    <n v="51"/>
    <n v="33"/>
    <n v="65"/>
    <n v="91"/>
    <n v="286"/>
    <n v="500"/>
    <n v="0.57199999999999995"/>
    <n v="0.42800000000000005"/>
  </r>
  <r>
    <s v="EMP1045"/>
    <x v="44"/>
    <x v="4"/>
    <n v="40"/>
    <n v="42"/>
    <n v="72"/>
    <n v="23"/>
    <n v="42"/>
    <n v="219"/>
    <n v="500"/>
    <n v="0.438"/>
    <n v="0.56200000000000006"/>
  </r>
  <r>
    <s v="EMP1046"/>
    <x v="45"/>
    <x v="4"/>
    <n v="54"/>
    <n v="40"/>
    <n v="33"/>
    <n v="68"/>
    <n v="24"/>
    <n v="219"/>
    <n v="500"/>
    <n v="0.438"/>
    <n v="0.56200000000000006"/>
  </r>
  <r>
    <s v="EMP1047"/>
    <x v="46"/>
    <x v="3"/>
    <n v="64"/>
    <n v="59"/>
    <n v="49"/>
    <n v="48"/>
    <n v="23"/>
    <n v="243"/>
    <n v="500"/>
    <n v="0.48599999999999999"/>
    <n v="0.51400000000000001"/>
  </r>
  <r>
    <s v="EMP1048"/>
    <x v="47"/>
    <x v="2"/>
    <n v="55"/>
    <n v="28"/>
    <n v="55"/>
    <n v="64"/>
    <n v="85"/>
    <n v="287"/>
    <n v="500"/>
    <n v="0.57399999999999995"/>
    <n v="0.42600000000000005"/>
  </r>
  <r>
    <s v="EMP1049"/>
    <x v="48"/>
    <x v="2"/>
    <n v="23"/>
    <n v="34"/>
    <n v="53"/>
    <n v="42"/>
    <n v="94"/>
    <n v="246"/>
    <n v="500"/>
    <n v="0.49199999999999999"/>
    <n v="0.50800000000000001"/>
  </r>
  <r>
    <s v="EMP1050"/>
    <x v="49"/>
    <x v="1"/>
    <n v="75"/>
    <n v="64"/>
    <n v="60"/>
    <n v="75"/>
    <n v="85"/>
    <n v="359"/>
    <n v="500"/>
    <n v="0.71799999999999997"/>
    <n v="0.28200000000000003"/>
  </r>
  <r>
    <s v="EMP1051"/>
    <x v="50"/>
    <x v="4"/>
    <n v="52"/>
    <n v="25"/>
    <n v="75"/>
    <n v="20"/>
    <n v="86"/>
    <n v="258"/>
    <n v="500"/>
    <n v="0.51600000000000001"/>
    <n v="0.48399999999999999"/>
  </r>
  <r>
    <s v="EMP1052"/>
    <x v="51"/>
    <x v="2"/>
    <n v="75"/>
    <n v="28"/>
    <n v="62"/>
    <n v="60"/>
    <n v="35"/>
    <n v="260"/>
    <n v="500"/>
    <n v="0.52"/>
    <n v="0.48"/>
  </r>
  <r>
    <s v="EMP1053"/>
    <x v="52"/>
    <x v="2"/>
    <n v="72"/>
    <n v="61"/>
    <n v="71"/>
    <n v="57"/>
    <n v="90"/>
    <n v="351"/>
    <n v="500"/>
    <n v="0.70199999999999996"/>
    <n v="0.29800000000000004"/>
  </r>
  <r>
    <s v="EMP1054"/>
    <x v="53"/>
    <x v="3"/>
    <n v="42"/>
    <n v="92"/>
    <n v="58"/>
    <n v="71"/>
    <n v="90"/>
    <n v="353"/>
    <n v="500"/>
    <n v="0.70599999999999996"/>
    <n v="0.29400000000000004"/>
  </r>
  <r>
    <s v="EMP1055"/>
    <x v="54"/>
    <x v="4"/>
    <n v="75"/>
    <n v="94"/>
    <n v="61"/>
    <n v="79"/>
    <n v="76"/>
    <n v="385"/>
    <n v="500"/>
    <n v="0.77"/>
    <n v="0.22999999999999998"/>
  </r>
  <r>
    <s v="EMP1058"/>
    <x v="55"/>
    <x v="4"/>
    <n v="80"/>
    <n v="29"/>
    <n v="78"/>
    <n v="73"/>
    <n v="93"/>
    <n v="353"/>
    <n v="500"/>
    <n v="0.70599999999999996"/>
    <n v="0.29400000000000004"/>
  </r>
  <r>
    <s v="EMP1059"/>
    <x v="56"/>
    <x v="3"/>
    <n v="71"/>
    <n v="51"/>
    <n v="38"/>
    <n v="20"/>
    <n v="33"/>
    <n v="213"/>
    <n v="500"/>
    <n v="0.42599999999999999"/>
    <n v="0.57400000000000007"/>
  </r>
  <r>
    <s v="EMP1060"/>
    <x v="57"/>
    <x v="1"/>
    <n v="79"/>
    <n v="26"/>
    <n v="91"/>
    <n v="51"/>
    <n v="35"/>
    <n v="282"/>
    <n v="500"/>
    <n v="0.56399999999999995"/>
    <n v="0.43600000000000005"/>
  </r>
  <r>
    <s v="EMP1061"/>
    <x v="58"/>
    <x v="1"/>
    <n v="91"/>
    <n v="60"/>
    <n v="76"/>
    <n v="84"/>
    <n v="74"/>
    <n v="385"/>
    <n v="500"/>
    <n v="0.77"/>
    <n v="0.22999999999999998"/>
  </r>
  <r>
    <s v="EMP1062"/>
    <x v="59"/>
    <x v="3"/>
    <n v="77"/>
    <n v="53"/>
    <n v="51"/>
    <n v="55"/>
    <n v="86"/>
    <n v="322"/>
    <n v="500"/>
    <n v="0.64400000000000002"/>
    <n v="0.35599999999999998"/>
  </r>
  <r>
    <s v="EMP1063"/>
    <x v="60"/>
    <x v="2"/>
    <n v="76"/>
    <n v="29"/>
    <n v="56"/>
    <n v="50"/>
    <n v="54"/>
    <n v="265"/>
    <n v="500"/>
    <n v="0.53"/>
    <n v="0.47"/>
  </r>
  <r>
    <s v="EMP1064"/>
    <x v="61"/>
    <x v="0"/>
    <n v="37"/>
    <n v="39"/>
    <n v="49"/>
    <n v="69"/>
    <n v="39"/>
    <n v="233"/>
    <n v="500"/>
    <n v="0.46600000000000003"/>
    <n v="0.53400000000000003"/>
  </r>
  <r>
    <s v="EMP1065"/>
    <x v="62"/>
    <x v="3"/>
    <n v="72"/>
    <n v="62"/>
    <n v="89"/>
    <n v="79"/>
    <n v="73"/>
    <n v="375"/>
    <n v="500"/>
    <n v="0.75"/>
    <n v="0.25"/>
  </r>
  <r>
    <s v="EMP1066"/>
    <x v="63"/>
    <x v="3"/>
    <n v="94"/>
    <n v="22"/>
    <n v="93"/>
    <n v="68"/>
    <n v="81"/>
    <n v="358"/>
    <n v="500"/>
    <n v="0.71599999999999997"/>
    <n v="0.28400000000000003"/>
  </r>
  <r>
    <s v="EMP1067"/>
    <x v="64"/>
    <x v="3"/>
    <n v="73"/>
    <n v="88"/>
    <n v="89"/>
    <n v="48"/>
    <n v="82"/>
    <n v="380"/>
    <n v="500"/>
    <n v="0.76"/>
    <n v="0.24"/>
  </r>
  <r>
    <s v="EMP1068"/>
    <x v="65"/>
    <x v="3"/>
    <n v="23"/>
    <n v="69"/>
    <n v="63"/>
    <n v="71"/>
    <n v="41"/>
    <n v="267"/>
    <n v="500"/>
    <n v="0.53400000000000003"/>
    <n v="0.46599999999999997"/>
  </r>
  <r>
    <s v="EMP1069"/>
    <x v="66"/>
    <x v="1"/>
    <n v="23"/>
    <n v="70"/>
    <n v="95"/>
    <n v="92"/>
    <n v="23"/>
    <n v="303"/>
    <n v="500"/>
    <n v="0.60599999999999998"/>
    <n v="0.39400000000000002"/>
  </r>
  <r>
    <s v="EMP1070"/>
    <x v="67"/>
    <x v="4"/>
    <n v="79"/>
    <n v="43"/>
    <n v="26"/>
    <n v="53"/>
    <n v="68"/>
    <n v="269"/>
    <n v="500"/>
    <n v="0.53800000000000003"/>
    <n v="0.46199999999999997"/>
  </r>
  <r>
    <s v="EMP1071"/>
    <x v="68"/>
    <x v="2"/>
    <n v="63"/>
    <n v="68"/>
    <n v="55"/>
    <n v="73"/>
    <n v="52"/>
    <n v="311"/>
    <n v="500"/>
    <n v="0.622"/>
    <n v="0.378"/>
  </r>
  <r>
    <s v="EMP1072"/>
    <x v="69"/>
    <x v="1"/>
    <n v="26"/>
    <n v="64"/>
    <n v="48"/>
    <n v="28"/>
    <n v="25"/>
    <n v="191"/>
    <n v="500"/>
    <n v="0.38200000000000001"/>
    <n v="0.61799999999999999"/>
  </r>
  <r>
    <s v="EMP1073"/>
    <x v="70"/>
    <x v="0"/>
    <n v="39"/>
    <n v="50"/>
    <n v="36"/>
    <n v="80"/>
    <n v="34"/>
    <n v="239"/>
    <n v="500"/>
    <n v="0.47799999999999998"/>
    <n v="0.52200000000000002"/>
  </r>
  <r>
    <s v="EMP1075"/>
    <x v="71"/>
    <x v="2"/>
    <n v="93"/>
    <n v="68"/>
    <n v="70"/>
    <n v="45"/>
    <n v="29"/>
    <n v="305"/>
    <n v="500"/>
    <n v="0.61"/>
    <n v="0.39"/>
  </r>
  <r>
    <s v="EMP1076"/>
    <x v="72"/>
    <x v="0"/>
    <n v="58"/>
    <n v="35"/>
    <n v="92"/>
    <n v="25"/>
    <n v="64"/>
    <n v="274"/>
    <n v="500"/>
    <n v="0.54800000000000004"/>
    <n v="0.45199999999999996"/>
  </r>
  <r>
    <s v="EMP1077"/>
    <x v="73"/>
    <x v="0"/>
    <n v="84"/>
    <n v="63"/>
    <n v="21"/>
    <n v="73"/>
    <n v="82"/>
    <n v="323"/>
    <n v="500"/>
    <n v="0.64600000000000002"/>
    <n v="0.35399999999999998"/>
  </r>
  <r>
    <s v="EMP1079"/>
    <x v="74"/>
    <x v="3"/>
    <n v="75"/>
    <n v="95"/>
    <n v="54"/>
    <n v="61"/>
    <n v="51"/>
    <n v="336"/>
    <n v="500"/>
    <n v="0.67200000000000004"/>
    <n v="0.32799999999999996"/>
  </r>
  <r>
    <s v="EMP1080"/>
    <x v="75"/>
    <x v="4"/>
    <n v="79"/>
    <n v="92"/>
    <n v="68"/>
    <n v="63"/>
    <n v="23"/>
    <n v="325"/>
    <n v="500"/>
    <n v="0.65"/>
    <n v="0.35"/>
  </r>
  <r>
    <s v="EMP1081"/>
    <x v="76"/>
    <x v="3"/>
    <n v="47"/>
    <n v="65"/>
    <n v="53"/>
    <n v="63"/>
    <n v="55"/>
    <n v="283"/>
    <n v="500"/>
    <n v="0.56599999999999995"/>
    <n v="0.43400000000000005"/>
  </r>
  <r>
    <s v="EMP1082"/>
    <x v="77"/>
    <x v="1"/>
    <n v="21"/>
    <n v="86"/>
    <n v="44"/>
    <n v="30"/>
    <n v="50"/>
    <n v="231"/>
    <n v="500"/>
    <n v="0.46200000000000002"/>
    <n v="0.53800000000000003"/>
  </r>
  <r>
    <s v="EMP1083"/>
    <x v="78"/>
    <x v="1"/>
    <n v="50"/>
    <n v="80"/>
    <n v="82"/>
    <n v="77"/>
    <n v="22"/>
    <n v="311"/>
    <n v="500"/>
    <n v="0.622"/>
    <n v="0.378"/>
  </r>
  <r>
    <s v="EMP1084"/>
    <x v="79"/>
    <x v="3"/>
    <n v="51"/>
    <n v="59"/>
    <n v="94"/>
    <n v="67"/>
    <n v="80"/>
    <n v="351"/>
    <n v="500"/>
    <n v="0.70199999999999996"/>
    <n v="0.29800000000000004"/>
  </r>
  <r>
    <s v="EMP1085"/>
    <x v="80"/>
    <x v="3"/>
    <n v="90"/>
    <n v="62"/>
    <n v="65"/>
    <n v="78"/>
    <n v="54"/>
    <n v="349"/>
    <n v="500"/>
    <n v="0.69799999999999995"/>
    <n v="0.30200000000000005"/>
  </r>
  <r>
    <s v="EMP1086"/>
    <x v="81"/>
    <x v="0"/>
    <n v="44"/>
    <n v="60"/>
    <n v="35"/>
    <n v="88"/>
    <n v="43"/>
    <n v="270"/>
    <n v="500"/>
    <n v="0.54"/>
    <n v="0.45999999999999996"/>
  </r>
  <r>
    <s v="EMP1087"/>
    <x v="82"/>
    <x v="2"/>
    <n v="95"/>
    <n v="87"/>
    <n v="56"/>
    <n v="32"/>
    <n v="44"/>
    <n v="314"/>
    <n v="500"/>
    <n v="0.628"/>
    <n v="0.372"/>
  </r>
  <r>
    <s v="EMP1088"/>
    <x v="83"/>
    <x v="4"/>
    <n v="58"/>
    <n v="21"/>
    <n v="88"/>
    <n v="36"/>
    <n v="55"/>
    <n v="258"/>
    <n v="500"/>
    <n v="0.51600000000000001"/>
    <n v="0.48399999999999999"/>
  </r>
  <r>
    <s v="EMP1089"/>
    <x v="84"/>
    <x v="2"/>
    <n v="36"/>
    <n v="82"/>
    <n v="33"/>
    <n v="21"/>
    <n v="93"/>
    <n v="265"/>
    <n v="500"/>
    <n v="0.53"/>
    <n v="0.47"/>
  </r>
  <r>
    <s v="EMP1090"/>
    <x v="85"/>
    <x v="3"/>
    <n v="63"/>
    <n v="43"/>
    <n v="26"/>
    <n v="52"/>
    <n v="81"/>
    <n v="265"/>
    <n v="500"/>
    <n v="0.53"/>
    <n v="0.47"/>
  </r>
  <r>
    <s v="EMP1091"/>
    <x v="86"/>
    <x v="3"/>
    <n v="29"/>
    <n v="93"/>
    <n v="26"/>
    <n v="39"/>
    <n v="39"/>
    <n v="226"/>
    <n v="500"/>
    <n v="0.45200000000000001"/>
    <n v="0.54800000000000004"/>
  </r>
  <r>
    <s v="EMP1092"/>
    <x v="87"/>
    <x v="4"/>
    <n v="35"/>
    <n v="91"/>
    <n v="73"/>
    <n v="48"/>
    <n v="86"/>
    <n v="333"/>
    <n v="500"/>
    <n v="0.66600000000000004"/>
    <n v="0.33399999999999996"/>
  </r>
  <r>
    <s v="EMP1093"/>
    <x v="88"/>
    <x v="2"/>
    <n v="95"/>
    <n v="74"/>
    <n v="59"/>
    <n v="92"/>
    <n v="27"/>
    <n v="347"/>
    <n v="500"/>
    <n v="0.69399999999999995"/>
    <n v="0.30600000000000005"/>
  </r>
  <r>
    <s v="EMP1094"/>
    <x v="89"/>
    <x v="4"/>
    <n v="47"/>
    <n v="53"/>
    <n v="30"/>
    <n v="40"/>
    <n v="50"/>
    <n v="220"/>
    <n v="500"/>
    <n v="0.44"/>
    <n v="0.56000000000000005"/>
  </r>
  <r>
    <s v="EMP1095"/>
    <x v="90"/>
    <x v="4"/>
    <n v="20"/>
    <n v="72"/>
    <n v="77"/>
    <n v="80"/>
    <n v="57"/>
    <n v="306"/>
    <n v="500"/>
    <n v="0.61199999999999999"/>
    <n v="0.38800000000000001"/>
  </r>
  <r>
    <s v="EMP1096"/>
    <x v="91"/>
    <x v="2"/>
    <n v="78"/>
    <n v="29"/>
    <n v="49"/>
    <n v="53"/>
    <n v="95"/>
    <n v="304"/>
    <n v="500"/>
    <n v="0.60799999999999998"/>
    <n v="0.39200000000000002"/>
  </r>
  <r>
    <s v="EMP1098"/>
    <x v="92"/>
    <x v="2"/>
    <n v="92"/>
    <n v="56"/>
    <n v="76"/>
    <n v="35"/>
    <n v="79"/>
    <n v="338"/>
    <n v="500"/>
    <n v="0.67600000000000005"/>
    <n v="0.32399999999999995"/>
  </r>
  <r>
    <s v="EMP1099"/>
    <x v="93"/>
    <x v="2"/>
    <n v="84"/>
    <n v="89"/>
    <n v="83"/>
    <n v="76"/>
    <n v="30"/>
    <n v="362"/>
    <n v="500"/>
    <n v="0.72399999999999998"/>
    <n v="0.27600000000000002"/>
  </r>
  <r>
    <s v="EMP1100"/>
    <x v="94"/>
    <x v="2"/>
    <n v="52"/>
    <n v="23"/>
    <n v="31"/>
    <n v="49"/>
    <n v="93"/>
    <n v="248"/>
    <n v="500"/>
    <n v="0.496"/>
    <n v="0.504"/>
  </r>
  <r>
    <s v="EMP1101"/>
    <x v="95"/>
    <x v="1"/>
    <n v="25"/>
    <n v="42"/>
    <n v="80"/>
    <n v="86"/>
    <n v="76"/>
    <n v="309"/>
    <n v="500"/>
    <n v="0.61799999999999999"/>
    <n v="0.38200000000000001"/>
  </r>
  <r>
    <s v="EMP1102"/>
    <x v="96"/>
    <x v="3"/>
    <n v="82"/>
    <n v="31"/>
    <n v="80"/>
    <n v="64"/>
    <n v="72"/>
    <n v="329"/>
    <n v="500"/>
    <n v="0.65800000000000003"/>
    <n v="0.34199999999999997"/>
  </r>
  <r>
    <s v="EMP1103"/>
    <x v="97"/>
    <x v="4"/>
    <n v="62"/>
    <n v="72"/>
    <n v="83"/>
    <n v="56"/>
    <n v="71"/>
    <n v="344"/>
    <n v="500"/>
    <n v="0.68799999999999994"/>
    <n v="0.31200000000000006"/>
  </r>
  <r>
    <s v="EMP1104"/>
    <x v="98"/>
    <x v="0"/>
    <n v="60"/>
    <n v="52"/>
    <n v="61"/>
    <n v="34"/>
    <n v="71"/>
    <n v="278"/>
    <n v="500"/>
    <n v="0.55600000000000005"/>
    <n v="0.44399999999999995"/>
  </r>
  <r>
    <s v="EMP1105"/>
    <x v="99"/>
    <x v="3"/>
    <n v="72"/>
    <n v="26"/>
    <n v="44"/>
    <n v="86"/>
    <n v="66"/>
    <n v="294"/>
    <n v="500"/>
    <n v="0.58799999999999997"/>
    <n v="0.41200000000000003"/>
  </r>
  <r>
    <s v="EMP1106"/>
    <x v="100"/>
    <x v="3"/>
    <n v="26"/>
    <n v="46"/>
    <n v="54"/>
    <n v="90"/>
    <n v="36"/>
    <n v="252"/>
    <n v="500"/>
    <n v="0.504"/>
    <n v="0.496"/>
  </r>
  <r>
    <s v="EMP1107"/>
    <x v="101"/>
    <x v="0"/>
    <n v="23"/>
    <n v="50"/>
    <n v="40"/>
    <n v="59"/>
    <n v="90"/>
    <n v="262"/>
    <n v="500"/>
    <n v="0.52400000000000002"/>
    <n v="0.47599999999999998"/>
  </r>
  <r>
    <s v="EMP1108"/>
    <x v="102"/>
    <x v="0"/>
    <n v="48"/>
    <n v="34"/>
    <n v="79"/>
    <n v="35"/>
    <n v="39"/>
    <n v="235"/>
    <n v="500"/>
    <n v="0.47"/>
    <n v="0.53"/>
  </r>
  <r>
    <s v="EMP1109"/>
    <x v="103"/>
    <x v="1"/>
    <n v="54"/>
    <n v="73"/>
    <n v="81"/>
    <n v="80"/>
    <n v="51"/>
    <n v="339"/>
    <n v="500"/>
    <n v="0.67800000000000005"/>
    <n v="0.32199999999999995"/>
  </r>
  <r>
    <s v="EMP1110"/>
    <x v="104"/>
    <x v="3"/>
    <n v="44"/>
    <n v="85"/>
    <n v="37"/>
    <n v="28"/>
    <n v="55"/>
    <n v="249"/>
    <n v="500"/>
    <n v="0.498"/>
    <n v="0.502"/>
  </r>
  <r>
    <s v="EMP1111"/>
    <x v="105"/>
    <x v="2"/>
    <n v="20"/>
    <n v="56"/>
    <n v="58"/>
    <n v="95"/>
    <n v="94"/>
    <n v="323"/>
    <n v="500"/>
    <n v="0.64600000000000002"/>
    <n v="0.35399999999999998"/>
  </r>
  <r>
    <s v="EMP1112"/>
    <x v="106"/>
    <x v="3"/>
    <n v="88"/>
    <n v="81"/>
    <n v="64"/>
    <n v="62"/>
    <n v="90"/>
    <n v="385"/>
    <n v="500"/>
    <n v="0.77"/>
    <n v="0.22999999999999998"/>
  </r>
  <r>
    <s v="EMP1113"/>
    <x v="107"/>
    <x v="2"/>
    <n v="44"/>
    <n v="50"/>
    <n v="93"/>
    <n v="69"/>
    <n v="49"/>
    <n v="305"/>
    <n v="500"/>
    <n v="0.61"/>
    <n v="0.39"/>
  </r>
  <r>
    <s v="EMP1114"/>
    <x v="108"/>
    <x v="3"/>
    <n v="68"/>
    <n v="69"/>
    <n v="39"/>
    <n v="83"/>
    <n v="24"/>
    <n v="283"/>
    <n v="500"/>
    <n v="0.56599999999999995"/>
    <n v="0.43400000000000005"/>
  </r>
  <r>
    <s v="EMP1115"/>
    <x v="109"/>
    <x v="2"/>
    <n v="32"/>
    <n v="76"/>
    <n v="32"/>
    <n v="87"/>
    <n v="78"/>
    <n v="305"/>
    <n v="500"/>
    <n v="0.61"/>
    <n v="0.39"/>
  </r>
  <r>
    <s v="EMP1116"/>
    <x v="110"/>
    <x v="3"/>
    <n v="39"/>
    <n v="29"/>
    <n v="80"/>
    <n v="53"/>
    <n v="63"/>
    <n v="264"/>
    <n v="500"/>
    <n v="0.52800000000000002"/>
    <n v="0.47199999999999998"/>
  </r>
  <r>
    <s v="EMP1117"/>
    <x v="111"/>
    <x v="0"/>
    <n v="62"/>
    <n v="88"/>
    <n v="68"/>
    <n v="60"/>
    <n v="82"/>
    <n v="360"/>
    <n v="500"/>
    <n v="0.72"/>
    <n v="0.28000000000000003"/>
  </r>
  <r>
    <s v="EMP1118"/>
    <x v="112"/>
    <x v="0"/>
    <n v="50"/>
    <n v="56"/>
    <n v="49"/>
    <n v="31"/>
    <n v="75"/>
    <n v="261"/>
    <n v="500"/>
    <n v="0.52200000000000002"/>
    <n v="0.47799999999999998"/>
  </r>
  <r>
    <s v="EMP1119"/>
    <x v="113"/>
    <x v="3"/>
    <n v="41"/>
    <n v="58"/>
    <n v="23"/>
    <n v="25"/>
    <n v="61"/>
    <n v="208"/>
    <n v="500"/>
    <n v="0.41599999999999998"/>
    <n v="0.58400000000000007"/>
  </r>
  <r>
    <s v="EMP1120"/>
    <x v="114"/>
    <x v="2"/>
    <n v="75"/>
    <n v="38"/>
    <n v="51"/>
    <n v="87"/>
    <n v="72"/>
    <n v="323"/>
    <n v="500"/>
    <n v="0.64600000000000002"/>
    <n v="0.35399999999999998"/>
  </r>
  <r>
    <s v="EMP1121"/>
    <x v="115"/>
    <x v="4"/>
    <n v="42"/>
    <n v="30"/>
    <n v="68"/>
    <n v="50"/>
    <n v="83"/>
    <n v="273"/>
    <n v="500"/>
    <n v="0.54600000000000004"/>
    <n v="0.45399999999999996"/>
  </r>
  <r>
    <s v="EMP1122"/>
    <x v="116"/>
    <x v="3"/>
    <n v="52"/>
    <n v="78"/>
    <n v="52"/>
    <n v="21"/>
    <n v="79"/>
    <n v="282"/>
    <n v="500"/>
    <n v="0.56399999999999995"/>
    <n v="0.43600000000000005"/>
  </r>
  <r>
    <s v="EMP1126"/>
    <x v="117"/>
    <x v="0"/>
    <n v="83"/>
    <n v="56"/>
    <n v="49"/>
    <n v="65"/>
    <n v="48"/>
    <n v="301"/>
    <n v="500"/>
    <n v="0.60199999999999998"/>
    <n v="0.39800000000000002"/>
  </r>
  <r>
    <s v="EMP1127"/>
    <x v="118"/>
    <x v="2"/>
    <n v="37"/>
    <n v="32"/>
    <n v="25"/>
    <n v="59"/>
    <n v="76"/>
    <n v="229"/>
    <n v="500"/>
    <n v="0.45800000000000002"/>
    <n v="0.54200000000000004"/>
  </r>
  <r>
    <s v="EMP1128"/>
    <x v="119"/>
    <x v="4"/>
    <n v="31"/>
    <n v="57"/>
    <n v="61"/>
    <n v="73"/>
    <n v="42"/>
    <n v="264"/>
    <n v="500"/>
    <n v="0.52800000000000002"/>
    <n v="0.47199999999999998"/>
  </r>
  <r>
    <s v="EMP1129"/>
    <x v="120"/>
    <x v="2"/>
    <n v="87"/>
    <n v="84"/>
    <n v="54"/>
    <n v="41"/>
    <n v="52"/>
    <n v="318"/>
    <n v="500"/>
    <n v="0.63600000000000001"/>
    <n v="0.36399999999999999"/>
  </r>
  <r>
    <s v="EMP1130"/>
    <x v="121"/>
    <x v="0"/>
    <n v="79"/>
    <n v="29"/>
    <n v="38"/>
    <n v="48"/>
    <n v="70"/>
    <n v="264"/>
    <n v="500"/>
    <n v="0.52800000000000002"/>
    <n v="0.47199999999999998"/>
  </r>
  <r>
    <s v="EMP1131"/>
    <x v="122"/>
    <x v="3"/>
    <n v="21"/>
    <n v="53"/>
    <n v="88"/>
    <n v="35"/>
    <n v="78"/>
    <n v="275"/>
    <n v="500"/>
    <n v="0.55000000000000004"/>
    <n v="0.44999999999999996"/>
  </r>
  <r>
    <s v="EMP1132"/>
    <x v="123"/>
    <x v="1"/>
    <n v="68"/>
    <n v="67"/>
    <n v="33"/>
    <n v="49"/>
    <n v="80"/>
    <n v="297"/>
    <n v="500"/>
    <n v="0.59399999999999997"/>
    <n v="0.40600000000000003"/>
  </r>
  <r>
    <s v="EMP1133"/>
    <x v="124"/>
    <x v="2"/>
    <n v="48"/>
    <n v="28"/>
    <n v="79"/>
    <n v="58"/>
    <n v="72"/>
    <n v="285"/>
    <n v="500"/>
    <n v="0.56999999999999995"/>
    <n v="0.43000000000000005"/>
  </r>
  <r>
    <s v="EMP1134"/>
    <x v="125"/>
    <x v="0"/>
    <n v="58"/>
    <n v="83"/>
    <n v="34"/>
    <n v="32"/>
    <n v="50"/>
    <n v="257"/>
    <n v="500"/>
    <n v="0.51400000000000001"/>
    <n v="0.48599999999999999"/>
  </r>
  <r>
    <s v="EMP1135"/>
    <x v="126"/>
    <x v="3"/>
    <n v="67"/>
    <n v="89"/>
    <n v="73"/>
    <n v="95"/>
    <n v="39"/>
    <n v="363"/>
    <n v="500"/>
    <n v="0.72599999999999998"/>
    <n v="0.27400000000000002"/>
  </r>
  <r>
    <s v="EMP1136"/>
    <x v="127"/>
    <x v="3"/>
    <n v="72"/>
    <n v="55"/>
    <n v="24"/>
    <n v="67"/>
    <n v="47"/>
    <n v="265"/>
    <n v="500"/>
    <n v="0.53"/>
    <n v="0.47"/>
  </r>
  <r>
    <s v="EMP1137"/>
    <x v="128"/>
    <x v="2"/>
    <n v="32"/>
    <n v="67"/>
    <n v="89"/>
    <n v="65"/>
    <n v="27"/>
    <n v="280"/>
    <n v="500"/>
    <n v="0.56000000000000005"/>
    <n v="0.43999999999999995"/>
  </r>
  <r>
    <s v="EMP1138"/>
    <x v="129"/>
    <x v="0"/>
    <n v="78"/>
    <n v="31"/>
    <n v="47"/>
    <n v="22"/>
    <n v="26"/>
    <n v="204"/>
    <n v="500"/>
    <n v="0.40799999999999997"/>
    <n v="0.59200000000000008"/>
  </r>
  <r>
    <s v="EMP1139"/>
    <x v="130"/>
    <x v="1"/>
    <n v="46"/>
    <n v="28"/>
    <n v="90"/>
    <n v="46"/>
    <n v="95"/>
    <n v="305"/>
    <n v="500"/>
    <n v="0.61"/>
    <n v="0.39"/>
  </r>
  <r>
    <s v="EMP1140"/>
    <x v="131"/>
    <x v="4"/>
    <n v="20"/>
    <n v="55"/>
    <n v="38"/>
    <n v="36"/>
    <n v="89"/>
    <n v="238"/>
    <n v="500"/>
    <n v="0.47599999999999998"/>
    <n v="0.52400000000000002"/>
  </r>
  <r>
    <s v="EMP1141"/>
    <x v="132"/>
    <x v="0"/>
    <n v="36"/>
    <n v="21"/>
    <n v="65"/>
    <n v="50"/>
    <n v="95"/>
    <n v="267"/>
    <n v="500"/>
    <n v="0.53400000000000003"/>
    <n v="0.46599999999999997"/>
  </r>
  <r>
    <s v="EMP1142"/>
    <x v="133"/>
    <x v="2"/>
    <n v="26"/>
    <n v="36"/>
    <n v="73"/>
    <n v="87"/>
    <n v="34"/>
    <n v="256"/>
    <n v="500"/>
    <n v="0.51200000000000001"/>
    <n v="0.48799999999999999"/>
  </r>
  <r>
    <s v="EMP1143"/>
    <x v="134"/>
    <x v="3"/>
    <n v="66"/>
    <n v="85"/>
    <n v="95"/>
    <n v="33"/>
    <n v="77"/>
    <n v="356"/>
    <n v="500"/>
    <n v="0.71199999999999997"/>
    <n v="0.28800000000000003"/>
  </r>
  <r>
    <s v="EMP1144"/>
    <x v="135"/>
    <x v="0"/>
    <n v="86"/>
    <n v="58"/>
    <n v="78"/>
    <n v="23"/>
    <n v="27"/>
    <n v="272"/>
    <n v="500"/>
    <n v="0.54400000000000004"/>
    <n v="0.45599999999999996"/>
  </r>
  <r>
    <s v="EMP1145"/>
    <x v="136"/>
    <x v="0"/>
    <n v="82"/>
    <n v="76"/>
    <n v="29"/>
    <n v="30"/>
    <n v="61"/>
    <n v="278"/>
    <n v="500"/>
    <n v="0.55600000000000005"/>
    <n v="0.44399999999999995"/>
  </r>
  <r>
    <s v="EMP1146"/>
    <x v="137"/>
    <x v="4"/>
    <n v="55"/>
    <n v="94"/>
    <n v="90"/>
    <n v="61"/>
    <n v="68"/>
    <n v="368"/>
    <n v="500"/>
    <n v="0.73599999999999999"/>
    <n v="0.26400000000000001"/>
  </r>
  <r>
    <s v="EMP1147"/>
    <x v="138"/>
    <x v="3"/>
    <n v="84"/>
    <n v="75"/>
    <n v="32"/>
    <n v="34"/>
    <n v="90"/>
    <n v="315"/>
    <n v="500"/>
    <n v="0.63"/>
    <n v="0.37"/>
  </r>
  <r>
    <s v="EMP1149"/>
    <x v="139"/>
    <x v="2"/>
    <n v="74"/>
    <n v="60"/>
    <n v="52"/>
    <n v="67"/>
    <n v="39"/>
    <n v="292"/>
    <n v="500"/>
    <n v="0.58399999999999996"/>
    <n v="0.41600000000000004"/>
  </r>
  <r>
    <s v="EMP1150"/>
    <x v="140"/>
    <x v="0"/>
    <n v="30"/>
    <n v="31"/>
    <n v="75"/>
    <n v="32"/>
    <n v="67"/>
    <n v="235"/>
    <n v="500"/>
    <n v="0.47"/>
    <n v="0.53"/>
  </r>
  <r>
    <s v="EMP1151"/>
    <x v="141"/>
    <x v="1"/>
    <n v="91"/>
    <n v="91"/>
    <n v="62"/>
    <n v="35"/>
    <n v="72"/>
    <n v="351"/>
    <n v="500"/>
    <n v="0.70199999999999996"/>
    <n v="0.29800000000000004"/>
  </r>
  <r>
    <s v="EMP1152"/>
    <x v="142"/>
    <x v="0"/>
    <n v="56"/>
    <n v="59"/>
    <n v="65"/>
    <n v="33"/>
    <n v="93"/>
    <n v="306"/>
    <n v="500"/>
    <n v="0.61199999999999999"/>
    <n v="0.38800000000000001"/>
  </r>
  <r>
    <s v="EMP1153"/>
    <x v="143"/>
    <x v="3"/>
    <n v="48"/>
    <n v="33"/>
    <n v="64"/>
    <n v="91"/>
    <n v="67"/>
    <n v="303"/>
    <n v="500"/>
    <n v="0.60599999999999998"/>
    <n v="0.39400000000000002"/>
  </r>
  <r>
    <s v="EMP1154"/>
    <x v="144"/>
    <x v="1"/>
    <n v="48"/>
    <n v="74"/>
    <n v="91"/>
    <n v="91"/>
    <n v="23"/>
    <n v="327"/>
    <n v="500"/>
    <n v="0.65400000000000003"/>
    <n v="0.34599999999999997"/>
  </r>
  <r>
    <s v="EMP1155"/>
    <x v="145"/>
    <x v="0"/>
    <n v="43"/>
    <n v="54"/>
    <n v="59"/>
    <n v="63"/>
    <n v="64"/>
    <n v="283"/>
    <n v="500"/>
    <n v="0.56599999999999995"/>
    <n v="0.43400000000000005"/>
  </r>
  <r>
    <s v="EMP1156"/>
    <x v="146"/>
    <x v="1"/>
    <n v="71"/>
    <n v="28"/>
    <n v="38"/>
    <n v="23"/>
    <n v="31"/>
    <n v="191"/>
    <n v="500"/>
    <n v="0.38200000000000001"/>
    <n v="0.61799999999999999"/>
  </r>
  <r>
    <s v="EMP1157"/>
    <x v="147"/>
    <x v="3"/>
    <n v="78"/>
    <n v="63"/>
    <n v="40"/>
    <n v="67"/>
    <n v="59"/>
    <n v="307"/>
    <n v="500"/>
    <n v="0.61399999999999999"/>
    <n v="0.38600000000000001"/>
  </r>
  <r>
    <s v="EMP1158"/>
    <x v="148"/>
    <x v="1"/>
    <n v="30"/>
    <n v="26"/>
    <n v="39"/>
    <n v="40"/>
    <n v="26"/>
    <n v="161"/>
    <n v="500"/>
    <n v="0.32200000000000001"/>
    <n v="0.67799999999999994"/>
  </r>
  <r>
    <s v="EMP1159"/>
    <x v="149"/>
    <x v="3"/>
    <n v="74"/>
    <n v="82"/>
    <n v="76"/>
    <n v="73"/>
    <n v="54"/>
    <n v="359"/>
    <n v="500"/>
    <n v="0.71799999999999997"/>
    <n v="0.28200000000000003"/>
  </r>
  <r>
    <s v="EMP1160"/>
    <x v="150"/>
    <x v="0"/>
    <n v="64"/>
    <n v="75"/>
    <n v="34"/>
    <n v="56"/>
    <n v="95"/>
    <n v="324"/>
    <n v="500"/>
    <n v="0.64800000000000002"/>
    <n v="0.35199999999999998"/>
  </r>
  <r>
    <s v="EMP1164"/>
    <x v="151"/>
    <x v="3"/>
    <n v="22"/>
    <n v="78"/>
    <n v="29"/>
    <n v="60"/>
    <n v="93"/>
    <n v="282"/>
    <n v="500"/>
    <n v="0.56399999999999995"/>
    <n v="0.43600000000000005"/>
  </r>
  <r>
    <s v="EMP1165"/>
    <x v="152"/>
    <x v="3"/>
    <n v="57"/>
    <n v="34"/>
    <n v="71"/>
    <n v="22"/>
    <n v="61"/>
    <n v="245"/>
    <n v="500"/>
    <n v="0.49"/>
    <n v="0.51"/>
  </r>
  <r>
    <s v="EMP1166"/>
    <x v="153"/>
    <x v="2"/>
    <n v="31"/>
    <n v="75"/>
    <n v="33"/>
    <n v="51"/>
    <n v="75"/>
    <n v="265"/>
    <n v="500"/>
    <n v="0.53"/>
    <n v="0.47"/>
  </r>
  <r>
    <s v="EMP1167"/>
    <x v="154"/>
    <x v="0"/>
    <n v="70"/>
    <n v="59"/>
    <n v="63"/>
    <n v="48"/>
    <n v="62"/>
    <n v="302"/>
    <n v="500"/>
    <n v="0.60399999999999998"/>
    <n v="0.39600000000000002"/>
  </r>
  <r>
    <s v="EMP1168"/>
    <x v="155"/>
    <x v="0"/>
    <n v="87"/>
    <n v="85"/>
    <n v="44"/>
    <n v="64"/>
    <n v="64"/>
    <n v="344"/>
    <n v="500"/>
    <n v="0.68799999999999994"/>
    <n v="0.31200000000000006"/>
  </r>
  <r>
    <s v="EMP1169"/>
    <x v="156"/>
    <x v="4"/>
    <n v="33"/>
    <n v="38"/>
    <n v="52"/>
    <n v="45"/>
    <n v="42"/>
    <n v="210"/>
    <n v="500"/>
    <n v="0.42"/>
    <n v="0.58000000000000007"/>
  </r>
  <r>
    <s v="EMP1171"/>
    <x v="157"/>
    <x v="2"/>
    <n v="60"/>
    <n v="39"/>
    <n v="76"/>
    <n v="28"/>
    <n v="80"/>
    <n v="283"/>
    <n v="500"/>
    <n v="0.56599999999999995"/>
    <n v="0.43400000000000005"/>
  </r>
  <r>
    <s v="EMP1172"/>
    <x v="158"/>
    <x v="2"/>
    <n v="95"/>
    <n v="27"/>
    <n v="65"/>
    <n v="84"/>
    <n v="29"/>
    <n v="300"/>
    <n v="500"/>
    <n v="0.6"/>
    <n v="0.4"/>
  </r>
  <r>
    <s v="EMP1173"/>
    <x v="159"/>
    <x v="0"/>
    <n v="27"/>
    <n v="67"/>
    <n v="56"/>
    <n v="29"/>
    <n v="31"/>
    <n v="210"/>
    <n v="500"/>
    <n v="0.42"/>
    <n v="0.58000000000000007"/>
  </r>
  <r>
    <s v="EMP1174"/>
    <x v="160"/>
    <x v="3"/>
    <n v="79"/>
    <n v="94"/>
    <n v="90"/>
    <n v="25"/>
    <n v="77"/>
    <n v="365"/>
    <n v="500"/>
    <n v="0.73"/>
    <n v="0.27"/>
  </r>
  <r>
    <s v="EMP1175"/>
    <x v="161"/>
    <x v="2"/>
    <n v="80"/>
    <n v="84"/>
    <n v="39"/>
    <n v="27"/>
    <n v="77"/>
    <n v="307"/>
    <n v="500"/>
    <n v="0.61399999999999999"/>
    <n v="0.38600000000000001"/>
  </r>
  <r>
    <s v="EMP1176"/>
    <x v="162"/>
    <x v="1"/>
    <n v="42"/>
    <n v="25"/>
    <n v="51"/>
    <n v="76"/>
    <n v="76"/>
    <n v="270"/>
    <n v="500"/>
    <n v="0.54"/>
    <n v="0.45999999999999996"/>
  </r>
  <r>
    <s v="EMP1177"/>
    <x v="163"/>
    <x v="4"/>
    <n v="66"/>
    <n v="67"/>
    <n v="56"/>
    <n v="69"/>
    <n v="72"/>
    <n v="330"/>
    <n v="500"/>
    <n v="0.66"/>
    <n v="0.33999999999999997"/>
  </r>
  <r>
    <s v="EMP1178"/>
    <x v="164"/>
    <x v="0"/>
    <n v="62"/>
    <n v="28"/>
    <n v="62"/>
    <n v="32"/>
    <n v="91"/>
    <n v="275"/>
    <n v="500"/>
    <n v="0.55000000000000004"/>
    <n v="0.44999999999999996"/>
  </r>
  <r>
    <s v="EMP1179"/>
    <x v="165"/>
    <x v="2"/>
    <n v="39"/>
    <n v="62"/>
    <n v="30"/>
    <n v="94"/>
    <n v="38"/>
    <n v="263"/>
    <n v="500"/>
    <n v="0.52600000000000002"/>
    <n v="0.47399999999999998"/>
  </r>
  <r>
    <s v="EMP1181"/>
    <x v="166"/>
    <x v="0"/>
    <n v="74"/>
    <n v="85"/>
    <n v="66"/>
    <n v="22"/>
    <n v="66"/>
    <n v="313"/>
    <n v="500"/>
    <n v="0.626"/>
    <n v="0.374"/>
  </r>
  <r>
    <s v="EMP1182"/>
    <x v="167"/>
    <x v="2"/>
    <n v="82"/>
    <n v="44"/>
    <n v="48"/>
    <n v="37"/>
    <n v="39"/>
    <n v="250"/>
    <n v="500"/>
    <n v="0.5"/>
    <n v="0.5"/>
  </r>
  <r>
    <s v="EMP1183"/>
    <x v="168"/>
    <x v="1"/>
    <n v="89"/>
    <n v="87"/>
    <n v="24"/>
    <n v="63"/>
    <n v="36"/>
    <n v="299"/>
    <n v="500"/>
    <n v="0.59799999999999998"/>
    <n v="0.40200000000000002"/>
  </r>
  <r>
    <s v="EMP1184"/>
    <x v="169"/>
    <x v="4"/>
    <n v="43"/>
    <n v="41"/>
    <n v="76"/>
    <n v="25"/>
    <n v="72"/>
    <n v="257"/>
    <n v="500"/>
    <n v="0.51400000000000001"/>
    <n v="0.48599999999999999"/>
  </r>
  <r>
    <s v="EMP1185"/>
    <x v="170"/>
    <x v="3"/>
    <n v="56"/>
    <n v="77"/>
    <n v="49"/>
    <n v="88"/>
    <n v="50"/>
    <n v="320"/>
    <n v="500"/>
    <n v="0.64"/>
    <n v="0.36"/>
  </r>
  <r>
    <s v="EMP1186"/>
    <x v="171"/>
    <x v="2"/>
    <n v="93"/>
    <n v="76"/>
    <n v="79"/>
    <n v="56"/>
    <n v="68"/>
    <n v="372"/>
    <n v="500"/>
    <n v="0.74399999999999999"/>
    <n v="0.25600000000000001"/>
  </r>
  <r>
    <s v="EMP1187"/>
    <x v="172"/>
    <x v="4"/>
    <n v="45"/>
    <n v="37"/>
    <n v="52"/>
    <n v="26"/>
    <n v="81"/>
    <n v="241"/>
    <n v="500"/>
    <n v="0.48199999999999998"/>
    <n v="0.51800000000000002"/>
  </r>
  <r>
    <s v="EMP1188"/>
    <x v="173"/>
    <x v="1"/>
    <n v="35"/>
    <n v="56"/>
    <n v="30"/>
    <n v="40"/>
    <n v="54"/>
    <n v="215"/>
    <n v="500"/>
    <n v="0.43"/>
    <n v="0.57000000000000006"/>
  </r>
  <r>
    <s v="EMP1189"/>
    <x v="174"/>
    <x v="3"/>
    <n v="31"/>
    <n v="48"/>
    <n v="77"/>
    <n v="64"/>
    <n v="23"/>
    <n v="243"/>
    <n v="500"/>
    <n v="0.48599999999999999"/>
    <n v="0.51400000000000001"/>
  </r>
  <r>
    <s v="EMP1190"/>
    <x v="175"/>
    <x v="1"/>
    <n v="67"/>
    <n v="50"/>
    <n v="69"/>
    <n v="30"/>
    <n v="67"/>
    <n v="283"/>
    <n v="500"/>
    <n v="0.56599999999999995"/>
    <n v="0.43400000000000005"/>
  </r>
  <r>
    <s v="EMP1191"/>
    <x v="176"/>
    <x v="0"/>
    <n v="62"/>
    <n v="38"/>
    <n v="37"/>
    <n v="24"/>
    <n v="56"/>
    <n v="217"/>
    <n v="500"/>
    <n v="0.434"/>
    <n v="0.56600000000000006"/>
  </r>
  <r>
    <s v="EMP1192"/>
    <x v="177"/>
    <x v="3"/>
    <n v="77"/>
    <n v="20"/>
    <n v="30"/>
    <n v="22"/>
    <n v="52"/>
    <n v="201"/>
    <n v="500"/>
    <n v="0.40200000000000002"/>
    <n v="0.59799999999999998"/>
  </r>
  <r>
    <s v="EMP1193"/>
    <x v="178"/>
    <x v="1"/>
    <n v="87"/>
    <n v="74"/>
    <n v="34"/>
    <n v="56"/>
    <n v="50"/>
    <n v="301"/>
    <n v="500"/>
    <n v="0.60199999999999998"/>
    <n v="0.39800000000000002"/>
  </r>
  <r>
    <s v="EMP1194"/>
    <x v="179"/>
    <x v="4"/>
    <n v="73"/>
    <n v="78"/>
    <n v="28"/>
    <n v="34"/>
    <n v="83"/>
    <n v="296"/>
    <n v="500"/>
    <n v="0.59199999999999997"/>
    <n v="0.40800000000000003"/>
  </r>
  <r>
    <s v="EMP1195"/>
    <x v="180"/>
    <x v="1"/>
    <n v="93"/>
    <n v="50"/>
    <n v="38"/>
    <n v="57"/>
    <n v="74"/>
    <n v="312"/>
    <n v="500"/>
    <n v="0.624"/>
    <n v="0.376"/>
  </r>
  <r>
    <s v="EMP1196"/>
    <x v="181"/>
    <x v="4"/>
    <n v="93"/>
    <n v="73"/>
    <n v="43"/>
    <n v="30"/>
    <n v="87"/>
    <n v="326"/>
    <n v="500"/>
    <n v="0.65200000000000002"/>
    <n v="0.34799999999999998"/>
  </r>
  <r>
    <s v="EMP1198"/>
    <x v="182"/>
    <x v="2"/>
    <n v="52"/>
    <n v="22"/>
    <n v="65"/>
    <n v="28"/>
    <n v="64"/>
    <n v="231"/>
    <n v="500"/>
    <n v="0.46200000000000002"/>
    <n v="0.538000000000000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136D3F-99F6-4FD4-AE70-D0073B575F2E}" name="PivotTable9"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G3:H8" firstHeaderRow="1" firstDataRow="1" firstDataCol="1"/>
  <pivotFields count="12">
    <pivotField showAll="0"/>
    <pivotField axis="axisRow" showAll="0" measureFilter="1">
      <items count="184">
        <item x="114"/>
        <item x="121"/>
        <item x="79"/>
        <item x="168"/>
        <item x="150"/>
        <item x="100"/>
        <item x="144"/>
        <item x="113"/>
        <item x="30"/>
        <item x="117"/>
        <item x="99"/>
        <item x="154"/>
        <item x="10"/>
        <item x="136"/>
        <item x="151"/>
        <item x="19"/>
        <item x="149"/>
        <item x="7"/>
        <item x="29"/>
        <item x="85"/>
        <item x="140"/>
        <item x="25"/>
        <item x="171"/>
        <item x="69"/>
        <item x="20"/>
        <item x="81"/>
        <item x="35"/>
        <item x="39"/>
        <item x="5"/>
        <item x="6"/>
        <item x="158"/>
        <item x="60"/>
        <item x="0"/>
        <item x="33"/>
        <item x="96"/>
        <item x="146"/>
        <item x="167"/>
        <item x="132"/>
        <item x="78"/>
        <item x="163"/>
        <item x="80"/>
        <item x="138"/>
        <item x="172"/>
        <item x="66"/>
        <item x="126"/>
        <item x="120"/>
        <item x="58"/>
        <item x="125"/>
        <item x="82"/>
        <item x="62"/>
        <item x="63"/>
        <item x="147"/>
        <item x="4"/>
        <item x="143"/>
        <item x="68"/>
        <item x="34"/>
        <item x="119"/>
        <item x="71"/>
        <item x="164"/>
        <item x="123"/>
        <item x="115"/>
        <item x="170"/>
        <item x="48"/>
        <item x="51"/>
        <item x="160"/>
        <item x="103"/>
        <item x="56"/>
        <item x="23"/>
        <item x="135"/>
        <item x="2"/>
        <item x="83"/>
        <item x="91"/>
        <item x="57"/>
        <item x="131"/>
        <item x="46"/>
        <item x="52"/>
        <item x="87"/>
        <item x="54"/>
        <item x="93"/>
        <item x="37"/>
        <item x="109"/>
        <item x="174"/>
        <item x="179"/>
        <item x="105"/>
        <item x="162"/>
        <item x="45"/>
        <item x="40"/>
        <item x="22"/>
        <item x="137"/>
        <item x="116"/>
        <item x="178"/>
        <item x="12"/>
        <item x="1"/>
        <item x="89"/>
        <item x="74"/>
        <item x="15"/>
        <item x="180"/>
        <item x="73"/>
        <item x="41"/>
        <item x="95"/>
        <item x="133"/>
        <item x="176"/>
        <item x="18"/>
        <item x="55"/>
        <item x="112"/>
        <item x="42"/>
        <item x="94"/>
        <item x="182"/>
        <item x="108"/>
        <item x="98"/>
        <item x="49"/>
        <item x="16"/>
        <item x="110"/>
        <item x="139"/>
        <item x="14"/>
        <item x="9"/>
        <item x="165"/>
        <item x="50"/>
        <item x="169"/>
        <item x="107"/>
        <item x="157"/>
        <item x="152"/>
        <item x="159"/>
        <item x="26"/>
        <item x="130"/>
        <item x="70"/>
        <item x="101"/>
        <item x="59"/>
        <item x="3"/>
        <item x="128"/>
        <item x="38"/>
        <item x="88"/>
        <item x="36"/>
        <item x="76"/>
        <item x="148"/>
        <item x="61"/>
        <item x="97"/>
        <item x="181"/>
        <item x="44"/>
        <item x="124"/>
        <item x="153"/>
        <item x="122"/>
        <item x="43"/>
        <item x="92"/>
        <item x="175"/>
        <item x="32"/>
        <item x="84"/>
        <item x="77"/>
        <item x="111"/>
        <item x="72"/>
        <item x="177"/>
        <item x="13"/>
        <item x="106"/>
        <item x="118"/>
        <item x="31"/>
        <item x="53"/>
        <item x="47"/>
        <item x="17"/>
        <item x="27"/>
        <item x="24"/>
        <item x="65"/>
        <item x="75"/>
        <item x="129"/>
        <item x="67"/>
        <item x="156"/>
        <item x="11"/>
        <item x="161"/>
        <item x="127"/>
        <item x="90"/>
        <item x="102"/>
        <item x="104"/>
        <item x="173"/>
        <item x="141"/>
        <item x="166"/>
        <item x="21"/>
        <item x="145"/>
        <item x="142"/>
        <item x="155"/>
        <item x="134"/>
        <item x="86"/>
        <item x="28"/>
        <item x="64"/>
        <item x="8"/>
        <item t="default"/>
      </items>
    </pivotField>
    <pivotField showAll="0">
      <items count="6">
        <item h="1" x="3"/>
        <item h="1" x="4"/>
        <item h="1" x="0"/>
        <item h="1" x="2"/>
        <item x="1"/>
        <item t="default"/>
      </items>
    </pivotField>
    <pivotField numFmtId="3" showAll="0"/>
    <pivotField numFmtId="3" showAll="0"/>
    <pivotField numFmtId="3" showAll="0"/>
    <pivotField numFmtId="3" showAll="0"/>
    <pivotField numFmtId="3" showAll="0"/>
    <pivotField numFmtId="3" showAll="0"/>
    <pivotField numFmtId="3" showAll="0"/>
    <pivotField dataField="1" numFmtId="164" showAll="0"/>
    <pivotField numFmtId="164" showAll="0"/>
  </pivotFields>
  <rowFields count="1">
    <field x="1"/>
  </rowFields>
  <rowItems count="5">
    <i>
      <x v="6"/>
    </i>
    <i>
      <x v="46"/>
    </i>
    <i>
      <x v="65"/>
    </i>
    <i>
      <x v="110"/>
    </i>
    <i>
      <x v="172"/>
    </i>
  </rowItems>
  <colItems count="1">
    <i/>
  </colItems>
  <dataFields count="1">
    <dataField name="Target Hit % wise" fld="10" baseField="1" baseItem="12" numFmtId="164"/>
  </dataFields>
  <formats count="2">
    <format dxfId="1">
      <pivotArea grandRow="1" outline="0" collapsedLevelsAreSubtotals="1" fieldPosition="0"/>
    </format>
    <format dxfId="0">
      <pivotArea grandRow="1" outline="0" collapsedLevelsAreSubtotals="1" fieldPosition="0"/>
    </format>
  </formats>
  <chartFormats count="7">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5"/>
          </reference>
        </references>
      </pivotArea>
    </chartFormat>
    <chartFormat chart="2" format="2">
      <pivotArea type="data" outline="0" fieldPosition="0">
        <references count="2">
          <reference field="4294967294" count="1" selected="0">
            <x v="0"/>
          </reference>
          <reference field="1" count="1" selected="0">
            <x v="8"/>
          </reference>
        </references>
      </pivotArea>
    </chartFormat>
    <chartFormat chart="2" format="3">
      <pivotArea type="data" outline="0" fieldPosition="0">
        <references count="2">
          <reference field="4294967294" count="1" selected="0">
            <x v="0"/>
          </reference>
          <reference field="1" count="1" selected="0">
            <x v="46"/>
          </reference>
        </references>
      </pivotArea>
    </chartFormat>
    <chartFormat chart="2" format="4">
      <pivotArea type="data" outline="0" fieldPosition="0">
        <references count="2">
          <reference field="4294967294" count="1" selected="0">
            <x v="0"/>
          </reference>
          <reference field="1" count="1" selected="0">
            <x v="77"/>
          </reference>
        </references>
      </pivotArea>
    </chartFormat>
    <chartFormat chart="2" format="5">
      <pivotArea type="data" outline="0" fieldPosition="0">
        <references count="2">
          <reference field="4294967294" count="1" selected="0">
            <x v="0"/>
          </reference>
          <reference field="1" count="1" selected="0">
            <x v="152"/>
          </reference>
        </references>
      </pivotArea>
    </chartFormat>
    <chartFormat chart="2" format="6">
      <pivotArea type="data" outline="0" fieldPosition="0">
        <references count="2">
          <reference field="4294967294" count="1" selected="0">
            <x v="0"/>
          </reference>
          <reference field="1" count="1" selected="0">
            <x v="159"/>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7D2759-BC3D-4C39-9E31-A339ACC0147B}" name="PivotTable8"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D3:E8" firstHeaderRow="1" firstDataRow="1" firstDataCol="1"/>
  <pivotFields count="12">
    <pivotField showAll="0"/>
    <pivotField axis="axisRow" showAll="0" measureFilter="1">
      <items count="184">
        <item x="114"/>
        <item x="121"/>
        <item x="79"/>
        <item x="168"/>
        <item x="150"/>
        <item x="100"/>
        <item x="144"/>
        <item x="113"/>
        <item x="30"/>
        <item x="117"/>
        <item x="99"/>
        <item x="154"/>
        <item x="10"/>
        <item x="136"/>
        <item x="151"/>
        <item x="19"/>
        <item x="149"/>
        <item x="7"/>
        <item x="29"/>
        <item x="85"/>
        <item x="140"/>
        <item x="25"/>
        <item x="171"/>
        <item x="69"/>
        <item x="20"/>
        <item x="81"/>
        <item x="35"/>
        <item x="39"/>
        <item x="5"/>
        <item x="6"/>
        <item x="158"/>
        <item x="60"/>
        <item x="0"/>
        <item x="33"/>
        <item x="96"/>
        <item x="146"/>
        <item x="167"/>
        <item x="132"/>
        <item x="78"/>
        <item x="163"/>
        <item x="80"/>
        <item x="138"/>
        <item x="172"/>
        <item x="66"/>
        <item x="126"/>
        <item x="120"/>
        <item x="58"/>
        <item x="125"/>
        <item x="82"/>
        <item x="62"/>
        <item x="63"/>
        <item x="147"/>
        <item x="4"/>
        <item x="143"/>
        <item x="68"/>
        <item x="34"/>
        <item x="119"/>
        <item x="71"/>
        <item x="164"/>
        <item x="123"/>
        <item x="115"/>
        <item x="170"/>
        <item x="48"/>
        <item x="51"/>
        <item x="160"/>
        <item x="103"/>
        <item x="56"/>
        <item x="23"/>
        <item x="135"/>
        <item x="2"/>
        <item x="83"/>
        <item x="91"/>
        <item x="57"/>
        <item x="131"/>
        <item x="46"/>
        <item x="52"/>
        <item x="87"/>
        <item x="54"/>
        <item x="93"/>
        <item x="37"/>
        <item x="109"/>
        <item x="174"/>
        <item x="179"/>
        <item x="105"/>
        <item x="162"/>
        <item x="45"/>
        <item x="40"/>
        <item x="22"/>
        <item x="137"/>
        <item x="116"/>
        <item x="178"/>
        <item x="12"/>
        <item x="1"/>
        <item x="89"/>
        <item x="74"/>
        <item x="15"/>
        <item x="180"/>
        <item x="73"/>
        <item x="41"/>
        <item x="95"/>
        <item x="133"/>
        <item x="176"/>
        <item x="18"/>
        <item x="55"/>
        <item x="112"/>
        <item x="42"/>
        <item x="94"/>
        <item x="182"/>
        <item x="108"/>
        <item x="98"/>
        <item x="49"/>
        <item x="16"/>
        <item x="110"/>
        <item x="139"/>
        <item x="14"/>
        <item x="9"/>
        <item x="165"/>
        <item x="50"/>
        <item x="169"/>
        <item x="107"/>
        <item x="157"/>
        <item x="152"/>
        <item x="159"/>
        <item x="26"/>
        <item x="130"/>
        <item x="70"/>
        <item x="101"/>
        <item x="59"/>
        <item x="3"/>
        <item x="128"/>
        <item x="38"/>
        <item x="88"/>
        <item x="36"/>
        <item x="76"/>
        <item x="148"/>
        <item x="61"/>
        <item x="97"/>
        <item x="181"/>
        <item x="44"/>
        <item x="124"/>
        <item x="153"/>
        <item x="122"/>
        <item x="43"/>
        <item x="92"/>
        <item x="175"/>
        <item x="32"/>
        <item x="84"/>
        <item x="77"/>
        <item x="111"/>
        <item x="72"/>
        <item x="177"/>
        <item x="13"/>
        <item x="106"/>
        <item x="118"/>
        <item x="31"/>
        <item x="53"/>
        <item x="47"/>
        <item x="17"/>
        <item x="27"/>
        <item x="24"/>
        <item x="65"/>
        <item x="75"/>
        <item x="129"/>
        <item x="67"/>
        <item x="156"/>
        <item x="11"/>
        <item x="161"/>
        <item x="127"/>
        <item x="90"/>
        <item x="102"/>
        <item x="104"/>
        <item x="173"/>
        <item x="141"/>
        <item x="166"/>
        <item x="21"/>
        <item x="145"/>
        <item x="142"/>
        <item x="155"/>
        <item x="134"/>
        <item x="86"/>
        <item x="28"/>
        <item x="64"/>
        <item x="8"/>
        <item t="default"/>
      </items>
    </pivotField>
    <pivotField showAll="0">
      <items count="6">
        <item h="1" x="3"/>
        <item h="1" x="4"/>
        <item h="1" x="0"/>
        <item h="1" x="2"/>
        <item x="1"/>
        <item t="default"/>
      </items>
    </pivotField>
    <pivotField numFmtId="3" showAll="0"/>
    <pivotField numFmtId="3" showAll="0"/>
    <pivotField numFmtId="3" showAll="0"/>
    <pivotField numFmtId="3" showAll="0"/>
    <pivotField numFmtId="3" showAll="0"/>
    <pivotField dataField="1" numFmtId="3" showAll="0"/>
    <pivotField numFmtId="3" showAll="0"/>
    <pivotField numFmtId="164" showAll="0"/>
    <pivotField numFmtId="164" showAll="0"/>
  </pivotFields>
  <rowFields count="1">
    <field x="1"/>
  </rowFields>
  <rowItems count="5">
    <i>
      <x v="23"/>
    </i>
    <i>
      <x v="35"/>
    </i>
    <i>
      <x v="115"/>
    </i>
    <i>
      <x v="134"/>
    </i>
    <i>
      <x v="180"/>
    </i>
  </rowItems>
  <colItems count="1">
    <i/>
  </colItems>
  <dataFields count="1">
    <dataField name="Total Sales " fld="8" baseField="0" baseItem="0" numFmtId="3"/>
  </dataFields>
  <formats count="2">
    <format dxfId="3">
      <pivotArea grandRow="1" outline="0" collapsedLevelsAreSubtotals="1" fieldPosition="0"/>
    </format>
    <format dxfId="2">
      <pivotArea grandRow="1"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37F455-6B01-4A49-A25D-0778062B390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84">
        <item x="114"/>
        <item x="121"/>
        <item x="79"/>
        <item x="168"/>
        <item x="150"/>
        <item x="100"/>
        <item x="144"/>
        <item x="113"/>
        <item x="30"/>
        <item x="117"/>
        <item x="99"/>
        <item x="154"/>
        <item x="10"/>
        <item x="136"/>
        <item x="151"/>
        <item x="19"/>
        <item x="149"/>
        <item x="7"/>
        <item x="29"/>
        <item x="85"/>
        <item x="140"/>
        <item x="25"/>
        <item x="171"/>
        <item x="69"/>
        <item x="20"/>
        <item x="81"/>
        <item x="35"/>
        <item x="39"/>
        <item x="5"/>
        <item x="6"/>
        <item x="158"/>
        <item x="60"/>
        <item x="0"/>
        <item x="33"/>
        <item x="96"/>
        <item x="146"/>
        <item x="167"/>
        <item x="132"/>
        <item x="78"/>
        <item x="163"/>
        <item x="80"/>
        <item x="138"/>
        <item x="172"/>
        <item x="66"/>
        <item x="126"/>
        <item x="120"/>
        <item x="58"/>
        <item x="125"/>
        <item x="82"/>
        <item x="62"/>
        <item x="63"/>
        <item x="147"/>
        <item x="4"/>
        <item x="143"/>
        <item x="68"/>
        <item x="34"/>
        <item x="119"/>
        <item x="71"/>
        <item x="164"/>
        <item x="123"/>
        <item x="115"/>
        <item x="170"/>
        <item x="48"/>
        <item x="51"/>
        <item x="160"/>
        <item x="103"/>
        <item x="56"/>
        <item x="23"/>
        <item x="135"/>
        <item x="2"/>
        <item x="83"/>
        <item x="91"/>
        <item x="57"/>
        <item x="131"/>
        <item x="46"/>
        <item x="52"/>
        <item x="87"/>
        <item x="54"/>
        <item x="93"/>
        <item x="37"/>
        <item x="109"/>
        <item x="174"/>
        <item x="179"/>
        <item x="105"/>
        <item x="162"/>
        <item x="45"/>
        <item x="40"/>
        <item x="22"/>
        <item x="137"/>
        <item x="116"/>
        <item x="178"/>
        <item x="12"/>
        <item x="1"/>
        <item x="89"/>
        <item x="74"/>
        <item x="15"/>
        <item x="180"/>
        <item x="73"/>
        <item x="41"/>
        <item x="95"/>
        <item x="133"/>
        <item x="176"/>
        <item x="18"/>
        <item x="55"/>
        <item x="112"/>
        <item x="42"/>
        <item x="94"/>
        <item x="182"/>
        <item x="108"/>
        <item x="98"/>
        <item x="49"/>
        <item x="16"/>
        <item x="110"/>
        <item x="139"/>
        <item x="14"/>
        <item x="9"/>
        <item x="165"/>
        <item x="50"/>
        <item x="169"/>
        <item x="107"/>
        <item x="157"/>
        <item x="152"/>
        <item x="159"/>
        <item x="26"/>
        <item x="130"/>
        <item x="70"/>
        <item x="101"/>
        <item x="59"/>
        <item x="3"/>
        <item x="128"/>
        <item x="38"/>
        <item x="88"/>
        <item x="36"/>
        <item x="76"/>
        <item x="148"/>
        <item x="61"/>
        <item x="97"/>
        <item x="181"/>
        <item x="44"/>
        <item x="124"/>
        <item x="153"/>
        <item x="122"/>
        <item x="43"/>
        <item x="92"/>
        <item x="175"/>
        <item x="32"/>
        <item x="84"/>
        <item x="77"/>
        <item x="111"/>
        <item x="72"/>
        <item x="177"/>
        <item x="13"/>
        <item x="106"/>
        <item x="118"/>
        <item x="31"/>
        <item x="53"/>
        <item x="47"/>
        <item x="17"/>
        <item x="27"/>
        <item x="24"/>
        <item x="65"/>
        <item x="75"/>
        <item x="129"/>
        <item x="67"/>
        <item x="156"/>
        <item x="11"/>
        <item x="161"/>
        <item x="127"/>
        <item x="90"/>
        <item x="102"/>
        <item x="104"/>
        <item x="173"/>
        <item x="141"/>
        <item x="166"/>
        <item x="21"/>
        <item x="145"/>
        <item x="142"/>
        <item x="155"/>
        <item x="134"/>
        <item x="86"/>
        <item x="28"/>
        <item x="64"/>
        <item x="8"/>
        <item t="default"/>
      </items>
    </pivotField>
    <pivotField showAll="0">
      <items count="6">
        <item h="1" x="3"/>
        <item h="1" x="4"/>
        <item h="1" x="0"/>
        <item h="1" x="2"/>
        <item x="1"/>
        <item t="default"/>
      </items>
    </pivotField>
    <pivotField numFmtId="3" showAll="0"/>
    <pivotField numFmtId="3" showAll="0"/>
    <pivotField numFmtId="3" showAll="0"/>
    <pivotField numFmtId="3" showAll="0"/>
    <pivotField numFmtId="3" showAll="0"/>
    <pivotField dataField="1" numFmtId="3" showAll="0"/>
    <pivotField numFmtId="3" showAll="0"/>
    <pivotField numFmtId="164" showAll="0"/>
    <pivotField numFmtId="164" showAll="0"/>
  </pivotFields>
  <rowFields count="1">
    <field x="1"/>
  </rowFields>
  <rowItems count="5">
    <i>
      <x v="6"/>
    </i>
    <i>
      <x v="46"/>
    </i>
    <i>
      <x v="65"/>
    </i>
    <i>
      <x v="110"/>
    </i>
    <i>
      <x v="172"/>
    </i>
  </rowItems>
  <colItems count="1">
    <i/>
  </colItems>
  <dataFields count="1">
    <dataField name="Total Sales " fld="8" baseField="0" baseItem="0" numFmtId="3"/>
  </dataFields>
  <formats count="2">
    <format dxfId="5">
      <pivotArea grandRow="1" outline="0" collapsedLevelsAreSubtotals="1" fieldPosition="0"/>
    </format>
    <format dxfId="4">
      <pivotArea grandRow="1"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35C6C68-7C09-4206-9300-F09F8871AFA3}" name="PivotTable10"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84">
        <item x="114"/>
        <item x="121"/>
        <item x="79"/>
        <item x="168"/>
        <item x="150"/>
        <item x="100"/>
        <item x="144"/>
        <item x="113"/>
        <item x="30"/>
        <item x="117"/>
        <item x="99"/>
        <item x="154"/>
        <item x="10"/>
        <item x="136"/>
        <item x="151"/>
        <item x="19"/>
        <item x="149"/>
        <item x="7"/>
        <item x="29"/>
        <item x="85"/>
        <item x="140"/>
        <item x="25"/>
        <item x="171"/>
        <item x="69"/>
        <item x="20"/>
        <item x="81"/>
        <item x="35"/>
        <item x="39"/>
        <item x="5"/>
        <item x="6"/>
        <item x="158"/>
        <item x="60"/>
        <item x="0"/>
        <item x="33"/>
        <item x="96"/>
        <item x="146"/>
        <item x="167"/>
        <item x="132"/>
        <item x="78"/>
        <item x="163"/>
        <item x="80"/>
        <item x="138"/>
        <item x="172"/>
        <item x="66"/>
        <item x="126"/>
        <item x="120"/>
        <item x="58"/>
        <item x="125"/>
        <item x="82"/>
        <item x="62"/>
        <item x="63"/>
        <item x="147"/>
        <item x="4"/>
        <item x="143"/>
        <item x="68"/>
        <item x="34"/>
        <item x="119"/>
        <item x="71"/>
        <item x="164"/>
        <item x="123"/>
        <item x="115"/>
        <item x="170"/>
        <item x="48"/>
        <item x="51"/>
        <item x="160"/>
        <item x="103"/>
        <item x="56"/>
        <item x="23"/>
        <item x="135"/>
        <item x="2"/>
        <item x="83"/>
        <item x="91"/>
        <item x="57"/>
        <item x="131"/>
        <item x="46"/>
        <item x="52"/>
        <item x="87"/>
        <item x="54"/>
        <item x="93"/>
        <item x="37"/>
        <item x="109"/>
        <item x="174"/>
        <item x="179"/>
        <item x="105"/>
        <item x="162"/>
        <item x="45"/>
        <item x="40"/>
        <item x="22"/>
        <item x="137"/>
        <item x="116"/>
        <item x="178"/>
        <item x="12"/>
        <item x="1"/>
        <item x="89"/>
        <item x="74"/>
        <item x="15"/>
        <item x="180"/>
        <item x="73"/>
        <item x="41"/>
        <item x="95"/>
        <item x="133"/>
        <item x="176"/>
        <item x="18"/>
        <item x="55"/>
        <item x="112"/>
        <item x="42"/>
        <item x="94"/>
        <item x="182"/>
        <item x="108"/>
        <item x="98"/>
        <item x="49"/>
        <item x="16"/>
        <item x="110"/>
        <item x="139"/>
        <item x="14"/>
        <item x="9"/>
        <item x="165"/>
        <item x="50"/>
        <item x="169"/>
        <item x="107"/>
        <item x="157"/>
        <item x="152"/>
        <item x="159"/>
        <item x="26"/>
        <item x="130"/>
        <item x="70"/>
        <item x="101"/>
        <item x="59"/>
        <item x="3"/>
        <item x="128"/>
        <item x="38"/>
        <item x="88"/>
        <item x="36"/>
        <item x="76"/>
        <item x="148"/>
        <item x="61"/>
        <item x="97"/>
        <item x="181"/>
        <item x="44"/>
        <item x="124"/>
        <item x="153"/>
        <item x="122"/>
        <item x="43"/>
        <item x="92"/>
        <item x="175"/>
        <item x="32"/>
        <item x="84"/>
        <item x="77"/>
        <item x="111"/>
        <item x="72"/>
        <item x="177"/>
        <item x="13"/>
        <item x="106"/>
        <item x="118"/>
        <item x="31"/>
        <item x="53"/>
        <item x="47"/>
        <item x="17"/>
        <item x="27"/>
        <item x="24"/>
        <item x="65"/>
        <item x="75"/>
        <item x="129"/>
        <item x="67"/>
        <item x="156"/>
        <item x="11"/>
        <item x="161"/>
        <item x="127"/>
        <item x="90"/>
        <item x="102"/>
        <item x="104"/>
        <item x="173"/>
        <item x="141"/>
        <item x="166"/>
        <item x="21"/>
        <item x="145"/>
        <item x="142"/>
        <item x="155"/>
        <item x="134"/>
        <item x="86"/>
        <item x="28"/>
        <item x="64"/>
        <item x="8"/>
        <item t="default"/>
      </items>
    </pivotField>
    <pivotField showAll="0">
      <items count="6">
        <item h="1" x="3"/>
        <item h="1" x="4"/>
        <item h="1" x="0"/>
        <item h="1" x="2"/>
        <item x="1"/>
        <item t="default"/>
      </items>
    </pivotField>
    <pivotField numFmtId="3" showAll="0"/>
    <pivotField numFmtId="3" showAll="0"/>
    <pivotField numFmtId="3" showAll="0"/>
    <pivotField numFmtId="3" showAll="0"/>
    <pivotField numFmtId="3" showAll="0"/>
    <pivotField numFmtId="3" showAll="0"/>
    <pivotField numFmtId="3" showAll="0"/>
    <pivotField numFmtId="164" showAll="0"/>
    <pivotField dataField="1" numFmtId="164" showAll="0"/>
  </pivotFields>
  <rowFields count="1">
    <field x="1"/>
  </rowFields>
  <rowItems count="5">
    <i>
      <x v="23"/>
    </i>
    <i>
      <x v="35"/>
    </i>
    <i>
      <x v="115"/>
    </i>
    <i>
      <x v="134"/>
    </i>
    <i>
      <x v="180"/>
    </i>
  </rowItems>
  <colItems count="1">
    <i/>
  </colItems>
  <dataFields count="1">
    <dataField name="Away From Target % wise" fld="11" baseField="1" baseItem="1" numFmtId="164"/>
  </dataFields>
  <formats count="2">
    <format dxfId="7">
      <pivotArea grandRow="1" outline="0" collapsedLevelsAreSubtotals="1" fieldPosition="0"/>
    </format>
    <format dxfId="6">
      <pivotArea grandRow="1" outline="0" collapsedLevelsAreSubtotals="1"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CB19208-892E-4921-9812-63FA37D20B69}" sourceName="Region">
  <pivotTables>
    <pivotTable tabId="3" name="PivotTable10"/>
    <pivotTable tabId="3" name="PivotTable9"/>
    <pivotTable tabId="3" name="PivotTable8"/>
    <pivotTable tabId="3" name="PivotTable2"/>
  </pivotTables>
  <data>
    <tabular pivotCacheId="1436455625">
      <items count="5">
        <i x="3"/>
        <i x="4"/>
        <i x="0"/>
        <i x="2"/>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2D79DEC-E44A-4082-B920-095A9ABDD0C3}" cache="Slicer_Region" caption="Region" columnCount="5" showCaption="0" style="Slicer Style 1" rowHeight="234950"/>
</slicers>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A8C44-4242-4369-A494-37A26BD0D469}">
  <sheetPr codeName="Sheet1"/>
  <dimension ref="A1:L22"/>
  <sheetViews>
    <sheetView showGridLines="0" showRowColHeaders="0" tabSelected="1" zoomScale="149" zoomScaleNormal="140" workbookViewId="0">
      <selection activeCell="E25" sqref="E25"/>
    </sheetView>
  </sheetViews>
  <sheetFormatPr defaultRowHeight="14.4" x14ac:dyDescent="0.3"/>
  <cols>
    <col min="1" max="1" width="16.44140625" customWidth="1"/>
    <col min="2" max="2" width="11.109375" customWidth="1"/>
    <col min="3" max="3" width="1.5546875" customWidth="1"/>
    <col min="4" max="4" width="15.21875" customWidth="1"/>
    <col min="5" max="5" width="11" customWidth="1"/>
    <col min="6" max="6" width="2.6640625" customWidth="1"/>
    <col min="7" max="7" width="14.77734375" bestFit="1" customWidth="1"/>
    <col min="8" max="8" width="15.5546875" bestFit="1" customWidth="1"/>
    <col min="9" max="9" width="1.77734375" customWidth="1"/>
    <col min="10" max="10" width="14.109375" customWidth="1"/>
    <col min="11" max="11" width="22.44140625" customWidth="1"/>
    <col min="13" max="13" width="16" bestFit="1" customWidth="1"/>
    <col min="14" max="14" width="17.6640625" customWidth="1"/>
  </cols>
  <sheetData>
    <row r="1" spans="1:12" x14ac:dyDescent="0.3">
      <c r="A1" s="10" t="b">
        <v>1</v>
      </c>
      <c r="B1" s="10"/>
      <c r="C1" s="10"/>
      <c r="D1" s="10" t="b">
        <v>1</v>
      </c>
      <c r="E1" s="10"/>
      <c r="F1" s="10"/>
      <c r="G1" s="10" t="b">
        <v>1</v>
      </c>
      <c r="H1" s="10"/>
      <c r="I1" s="10"/>
      <c r="J1" s="10" t="b">
        <v>1</v>
      </c>
      <c r="K1" s="10"/>
    </row>
    <row r="2" spans="1:12" ht="57" customHeight="1" x14ac:dyDescent="0.3">
      <c r="A2" s="10"/>
      <c r="B2" s="10"/>
      <c r="C2" s="10"/>
      <c r="D2" s="10"/>
      <c r="E2" s="10"/>
      <c r="F2" s="10"/>
      <c r="G2" s="10"/>
      <c r="H2" s="10"/>
      <c r="I2" s="10"/>
      <c r="J2" s="10"/>
      <c r="K2" s="10"/>
    </row>
    <row r="3" spans="1:12" x14ac:dyDescent="0.3">
      <c r="A3" s="6" t="s">
        <v>1</v>
      </c>
      <c r="B3" t="s">
        <v>383</v>
      </c>
      <c r="C3" s="10"/>
      <c r="D3" s="6" t="s">
        <v>1</v>
      </c>
      <c r="E3" t="s">
        <v>383</v>
      </c>
      <c r="F3" s="10"/>
      <c r="G3" s="6" t="s">
        <v>1</v>
      </c>
      <c r="H3" t="s">
        <v>384</v>
      </c>
      <c r="I3" s="10"/>
      <c r="J3" s="6" t="s">
        <v>1</v>
      </c>
      <c r="K3" t="s">
        <v>385</v>
      </c>
    </row>
    <row r="4" spans="1:12" x14ac:dyDescent="0.3">
      <c r="A4" s="7" t="s">
        <v>301</v>
      </c>
      <c r="B4" s="8">
        <v>327</v>
      </c>
      <c r="C4" s="10"/>
      <c r="D4" s="7" t="s">
        <v>151</v>
      </c>
      <c r="E4" s="8">
        <v>191</v>
      </c>
      <c r="F4" s="10"/>
      <c r="G4" s="7" t="s">
        <v>301</v>
      </c>
      <c r="H4" s="9">
        <v>0.65400000000000003</v>
      </c>
      <c r="I4" s="10"/>
      <c r="J4" s="7" t="s">
        <v>151</v>
      </c>
      <c r="K4" s="9">
        <v>0.61799999999999999</v>
      </c>
    </row>
    <row r="5" spans="1:12" x14ac:dyDescent="0.3">
      <c r="A5" s="7" t="s">
        <v>129</v>
      </c>
      <c r="B5" s="8">
        <v>385</v>
      </c>
      <c r="C5" s="10"/>
      <c r="D5" s="7" t="s">
        <v>305</v>
      </c>
      <c r="E5" s="8">
        <v>191</v>
      </c>
      <c r="F5" s="10"/>
      <c r="G5" s="7" t="s">
        <v>129</v>
      </c>
      <c r="H5" s="9">
        <v>0.77</v>
      </c>
      <c r="I5" s="10"/>
      <c r="J5" s="7" t="s">
        <v>305</v>
      </c>
      <c r="K5" s="9">
        <v>0.61799999999999999</v>
      </c>
    </row>
    <row r="6" spans="1:12" x14ac:dyDescent="0.3">
      <c r="A6" s="7" t="s">
        <v>219</v>
      </c>
      <c r="B6" s="8">
        <v>339</v>
      </c>
      <c r="C6" s="10"/>
      <c r="D6" s="7" t="s">
        <v>30</v>
      </c>
      <c r="E6" s="8">
        <v>209</v>
      </c>
      <c r="F6" s="10"/>
      <c r="G6" s="7" t="s">
        <v>219</v>
      </c>
      <c r="H6" s="9">
        <v>0.67800000000000005</v>
      </c>
      <c r="I6" s="10"/>
      <c r="J6" s="7" t="s">
        <v>30</v>
      </c>
      <c r="K6" s="9">
        <v>0.58200000000000007</v>
      </c>
    </row>
    <row r="7" spans="1:12" x14ac:dyDescent="0.3">
      <c r="A7" s="7" t="s">
        <v>111</v>
      </c>
      <c r="B7" s="8">
        <v>359</v>
      </c>
      <c r="C7" s="10"/>
      <c r="D7" s="7" t="s">
        <v>309</v>
      </c>
      <c r="E7" s="8">
        <v>161</v>
      </c>
      <c r="F7" s="10"/>
      <c r="G7" s="7" t="s">
        <v>111</v>
      </c>
      <c r="H7" s="9">
        <v>0.71799999999999997</v>
      </c>
      <c r="I7" s="10"/>
      <c r="J7" s="7" t="s">
        <v>309</v>
      </c>
      <c r="K7" s="9">
        <v>0.67799999999999994</v>
      </c>
    </row>
    <row r="8" spans="1:12" x14ac:dyDescent="0.3">
      <c r="A8" s="7" t="s">
        <v>295</v>
      </c>
      <c r="B8" s="8">
        <v>351</v>
      </c>
      <c r="C8" s="10"/>
      <c r="D8" s="7" t="s">
        <v>69</v>
      </c>
      <c r="E8" s="8">
        <v>199</v>
      </c>
      <c r="F8" s="10"/>
      <c r="G8" s="7" t="s">
        <v>295</v>
      </c>
      <c r="H8" s="9">
        <v>0.70199999999999996</v>
      </c>
      <c r="I8" s="10"/>
      <c r="J8" s="7" t="s">
        <v>69</v>
      </c>
      <c r="K8" s="9">
        <v>0.60199999999999998</v>
      </c>
    </row>
    <row r="9" spans="1:12" x14ac:dyDescent="0.3">
      <c r="A9" s="10"/>
      <c r="B9" s="10"/>
      <c r="C9" s="10"/>
      <c r="F9" s="10"/>
      <c r="G9" s="10"/>
      <c r="H9" s="10"/>
      <c r="I9" s="10"/>
    </row>
    <row r="10" spans="1:12" x14ac:dyDescent="0.3">
      <c r="A10" s="10"/>
      <c r="B10" s="10"/>
      <c r="C10" s="10"/>
      <c r="D10" s="10"/>
      <c r="E10" s="10"/>
      <c r="F10" s="10"/>
      <c r="G10" s="10"/>
      <c r="H10" s="10"/>
      <c r="I10" s="10"/>
      <c r="J10" s="10"/>
      <c r="K10" s="10"/>
    </row>
    <row r="11" spans="1:12" x14ac:dyDescent="0.3">
      <c r="A11" s="10"/>
      <c r="B11" s="10"/>
      <c r="C11" s="10"/>
      <c r="D11" s="10"/>
      <c r="E11" s="10"/>
      <c r="F11" s="10"/>
      <c r="G11" s="10"/>
      <c r="H11" s="10"/>
      <c r="I11" s="10"/>
      <c r="J11" s="10"/>
      <c r="K11" s="10"/>
    </row>
    <row r="12" spans="1:12" x14ac:dyDescent="0.3">
      <c r="A12" s="10"/>
      <c r="B12" s="10"/>
      <c r="C12" s="10"/>
      <c r="D12" s="10"/>
      <c r="E12" s="10"/>
      <c r="F12" s="10"/>
      <c r="G12" s="10"/>
      <c r="H12" s="10"/>
      <c r="I12" s="10"/>
      <c r="J12" s="10"/>
      <c r="K12" s="10"/>
    </row>
    <row r="13" spans="1:12" x14ac:dyDescent="0.3">
      <c r="A13" s="10"/>
      <c r="B13" s="10"/>
      <c r="C13" s="10"/>
      <c r="D13" s="10"/>
      <c r="E13" s="10"/>
      <c r="F13" s="10"/>
      <c r="G13" s="10"/>
      <c r="H13" s="10"/>
      <c r="I13" s="10"/>
      <c r="J13" s="10"/>
      <c r="K13" s="10"/>
      <c r="L13" s="11"/>
    </row>
    <row r="14" spans="1:12" x14ac:dyDescent="0.3">
      <c r="A14" s="10"/>
      <c r="B14" s="10"/>
      <c r="C14" s="10"/>
      <c r="D14" s="10"/>
      <c r="E14" s="10"/>
      <c r="F14" s="10"/>
      <c r="G14" s="10"/>
      <c r="H14" s="10"/>
      <c r="I14" s="10"/>
      <c r="J14" s="10"/>
      <c r="K14" s="10"/>
    </row>
    <row r="15" spans="1:12" x14ac:dyDescent="0.3">
      <c r="A15" s="10"/>
      <c r="B15" s="10"/>
      <c r="C15" s="10"/>
      <c r="D15" s="10"/>
      <c r="E15" s="10"/>
      <c r="F15" s="10"/>
      <c r="G15" s="10"/>
      <c r="H15" s="10"/>
      <c r="I15" s="10"/>
      <c r="J15" s="10"/>
      <c r="K15" s="10"/>
    </row>
    <row r="16" spans="1:12" x14ac:dyDescent="0.3">
      <c r="A16" s="10"/>
      <c r="B16" s="10"/>
      <c r="C16" s="10"/>
      <c r="D16" s="10"/>
      <c r="E16" s="10"/>
      <c r="F16" s="10"/>
      <c r="G16" s="10"/>
      <c r="H16" s="10"/>
      <c r="I16" s="10"/>
      <c r="J16" s="10"/>
      <c r="K16" s="10"/>
    </row>
    <row r="17" spans="1:12" x14ac:dyDescent="0.3">
      <c r="A17" s="10"/>
      <c r="B17" s="10"/>
      <c r="C17" s="10"/>
      <c r="D17" s="10"/>
      <c r="E17" s="10"/>
      <c r="F17" s="10"/>
      <c r="G17" s="10"/>
      <c r="H17" s="10"/>
      <c r="I17" s="10"/>
      <c r="J17" s="10"/>
      <c r="K17" s="10"/>
    </row>
    <row r="18" spans="1:12" x14ac:dyDescent="0.3">
      <c r="A18" s="10"/>
      <c r="B18" s="10"/>
      <c r="C18" s="10"/>
      <c r="D18" s="10"/>
      <c r="E18" s="10"/>
      <c r="F18" s="10"/>
      <c r="G18" s="10"/>
      <c r="H18" s="10"/>
      <c r="I18" s="10"/>
      <c r="J18" s="10"/>
      <c r="K18" s="10"/>
    </row>
    <row r="19" spans="1:12" x14ac:dyDescent="0.3">
      <c r="A19" s="12"/>
      <c r="B19" s="12"/>
      <c r="C19" s="12"/>
      <c r="D19" s="12"/>
      <c r="E19" s="12"/>
      <c r="F19" s="12"/>
      <c r="G19" s="12"/>
      <c r="H19" s="12"/>
      <c r="I19" s="12"/>
      <c r="J19" s="12"/>
      <c r="K19" s="12"/>
      <c r="L19" s="12"/>
    </row>
    <row r="20" spans="1:12" x14ac:dyDescent="0.3">
      <c r="A20" s="12"/>
      <c r="B20" s="12"/>
      <c r="C20" s="12"/>
      <c r="D20" s="12"/>
      <c r="E20" s="12"/>
      <c r="F20" s="12"/>
      <c r="G20" s="12"/>
      <c r="H20" s="12"/>
      <c r="I20" s="12"/>
      <c r="J20" s="12"/>
      <c r="K20" s="12"/>
      <c r="L20" s="12"/>
    </row>
    <row r="21" spans="1:12" x14ac:dyDescent="0.3">
      <c r="A21" s="12"/>
      <c r="B21" s="12"/>
      <c r="C21" s="12"/>
      <c r="D21" s="12"/>
      <c r="E21" s="12"/>
      <c r="F21" s="12"/>
      <c r="G21" s="12"/>
      <c r="H21" s="12"/>
      <c r="I21" s="12"/>
      <c r="J21" s="12"/>
      <c r="K21" s="12"/>
      <c r="L21" s="12"/>
    </row>
    <row r="22" spans="1:12" x14ac:dyDescent="0.3">
      <c r="A22" s="12"/>
      <c r="B22" s="12"/>
      <c r="C22" s="12"/>
      <c r="D22" s="12"/>
      <c r="E22" s="12"/>
      <c r="F22" s="12"/>
      <c r="G22" s="12"/>
      <c r="H22" s="12"/>
      <c r="I22" s="12"/>
      <c r="J22" s="12"/>
      <c r="K22" s="12"/>
      <c r="L2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556260</xdr:colOff>
                    <xdr:row>1</xdr:row>
                    <xdr:rowOff>297180</xdr:rowOff>
                  </from>
                  <to>
                    <xdr:col>1</xdr:col>
                    <xdr:colOff>152400</xdr:colOff>
                    <xdr:row>1</xdr:row>
                    <xdr:rowOff>510540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472440</xdr:colOff>
                    <xdr:row>1</xdr:row>
                    <xdr:rowOff>289560</xdr:rowOff>
                  </from>
                  <to>
                    <xdr:col>4</xdr:col>
                    <xdr:colOff>152400</xdr:colOff>
                    <xdr:row>1</xdr:row>
                    <xdr:rowOff>502920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655320</xdr:colOff>
                    <xdr:row>1</xdr:row>
                    <xdr:rowOff>289560</xdr:rowOff>
                  </from>
                  <to>
                    <xdr:col>7</xdr:col>
                    <xdr:colOff>365760</xdr:colOff>
                    <xdr:row>1</xdr:row>
                    <xdr:rowOff>502920</xdr:rowOff>
                  </to>
                </anchor>
              </controlPr>
            </control>
          </mc:Choice>
        </mc:AlternateContent>
        <mc:AlternateContent xmlns:mc="http://schemas.openxmlformats.org/markup-compatibility/2006">
          <mc:Choice Requires="x14">
            <control shapeId="2053" r:id="rId10" name="Check Box 5">
              <controlPr defaultSize="0" autoFill="0" autoLine="0" autoPict="0" macro="[0]!SlicerConnection">
                <anchor moveWithCells="1">
                  <from>
                    <xdr:col>9</xdr:col>
                    <xdr:colOff>822960</xdr:colOff>
                    <xdr:row>1</xdr:row>
                    <xdr:rowOff>297180</xdr:rowOff>
                  </from>
                  <to>
                    <xdr:col>10</xdr:col>
                    <xdr:colOff>586740</xdr:colOff>
                    <xdr:row>1</xdr:row>
                    <xdr:rowOff>510540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201"/>
  <sheetViews>
    <sheetView zoomScaleNormal="100" workbookViewId="0">
      <pane ySplit="1" topLeftCell="A167" activePane="bottomLeft" state="frozen"/>
      <selection pane="bottomLeft" sqref="A1:L184"/>
    </sheetView>
  </sheetViews>
  <sheetFormatPr defaultColWidth="8.6640625" defaultRowHeight="14.4" x14ac:dyDescent="0.3"/>
  <cols>
    <col min="1" max="1" width="13.88671875" customWidth="1"/>
    <col min="2" max="2" width="19" customWidth="1"/>
    <col min="3" max="3" width="15.6640625" customWidth="1"/>
    <col min="4" max="8" width="6.44140625" bestFit="1" customWidth="1"/>
    <col min="9" max="9" width="11.6640625" bestFit="1" customWidth="1"/>
    <col min="10" max="10" width="8.33203125" customWidth="1"/>
    <col min="11" max="11" width="14.5546875" customWidth="1"/>
    <col min="12" max="12" width="23.21875" customWidth="1"/>
  </cols>
  <sheetData>
    <row r="1" spans="1:12" x14ac:dyDescent="0.3">
      <c r="A1" s="1" t="s">
        <v>0</v>
      </c>
      <c r="B1" s="1" t="s">
        <v>1</v>
      </c>
      <c r="C1" s="1" t="s">
        <v>2</v>
      </c>
      <c r="D1" s="1" t="s">
        <v>378</v>
      </c>
      <c r="E1" s="1" t="s">
        <v>379</v>
      </c>
      <c r="F1" s="1" t="s">
        <v>380</v>
      </c>
      <c r="G1" s="1" t="s">
        <v>381</v>
      </c>
      <c r="H1" s="1" t="s">
        <v>382</v>
      </c>
      <c r="I1" s="1" t="s">
        <v>3</v>
      </c>
      <c r="J1" s="1" t="s">
        <v>4</v>
      </c>
      <c r="K1" s="1" t="s">
        <v>5</v>
      </c>
      <c r="L1" s="1" t="s">
        <v>6</v>
      </c>
    </row>
    <row r="2" spans="1:12" x14ac:dyDescent="0.3">
      <c r="A2" s="2" t="s">
        <v>7</v>
      </c>
      <c r="B2" s="3" t="s">
        <v>8</v>
      </c>
      <c r="C2" s="3" t="s">
        <v>9</v>
      </c>
      <c r="D2" s="4">
        <v>55</v>
      </c>
      <c r="E2" s="4">
        <v>51</v>
      </c>
      <c r="F2" s="4">
        <v>48</v>
      </c>
      <c r="G2" s="4">
        <v>37</v>
      </c>
      <c r="H2" s="4">
        <v>33</v>
      </c>
      <c r="I2" s="4">
        <f t="shared" ref="I2:I33" si="0">SUM(D2:H2)</f>
        <v>224</v>
      </c>
      <c r="J2" s="4">
        <v>500</v>
      </c>
      <c r="K2" s="5">
        <f t="shared" ref="K2:K33" si="1">I2/J2</f>
        <v>0.44800000000000001</v>
      </c>
      <c r="L2" s="5">
        <f t="shared" ref="L2:L33" si="2">1-K2</f>
        <v>0.55200000000000005</v>
      </c>
    </row>
    <row r="3" spans="1:12" x14ac:dyDescent="0.3">
      <c r="A3" s="2" t="s">
        <v>10</v>
      </c>
      <c r="B3" s="3" t="s">
        <v>11</v>
      </c>
      <c r="C3" s="3" t="s">
        <v>9</v>
      </c>
      <c r="D3" s="4">
        <v>95</v>
      </c>
      <c r="E3" s="4">
        <v>74</v>
      </c>
      <c r="F3" s="4">
        <v>24</v>
      </c>
      <c r="G3" s="4">
        <v>23</v>
      </c>
      <c r="H3" s="4">
        <v>31</v>
      </c>
      <c r="I3" s="4">
        <f t="shared" si="0"/>
        <v>247</v>
      </c>
      <c r="J3" s="4">
        <v>500</v>
      </c>
      <c r="K3" s="5">
        <f t="shared" si="1"/>
        <v>0.49399999999999999</v>
      </c>
      <c r="L3" s="5">
        <f t="shared" si="2"/>
        <v>0.50600000000000001</v>
      </c>
    </row>
    <row r="4" spans="1:12" x14ac:dyDescent="0.3">
      <c r="A4" s="2" t="s">
        <v>12</v>
      </c>
      <c r="B4" s="3" t="s">
        <v>13</v>
      </c>
      <c r="C4" s="3" t="s">
        <v>14</v>
      </c>
      <c r="D4" s="4">
        <v>23</v>
      </c>
      <c r="E4" s="4">
        <v>91</v>
      </c>
      <c r="F4" s="4">
        <v>45</v>
      </c>
      <c r="G4" s="4">
        <v>89</v>
      </c>
      <c r="H4" s="4">
        <v>73</v>
      </c>
      <c r="I4" s="4">
        <f t="shared" si="0"/>
        <v>321</v>
      </c>
      <c r="J4" s="4">
        <v>500</v>
      </c>
      <c r="K4" s="5">
        <f t="shared" si="1"/>
        <v>0.64200000000000002</v>
      </c>
      <c r="L4" s="5">
        <f t="shared" si="2"/>
        <v>0.35799999999999998</v>
      </c>
    </row>
    <row r="5" spans="1:12" x14ac:dyDescent="0.3">
      <c r="A5" s="2" t="s">
        <v>15</v>
      </c>
      <c r="B5" s="3" t="s">
        <v>16</v>
      </c>
      <c r="C5" s="3" t="s">
        <v>17</v>
      </c>
      <c r="D5" s="4">
        <v>20</v>
      </c>
      <c r="E5" s="4">
        <v>40</v>
      </c>
      <c r="F5" s="4">
        <v>74</v>
      </c>
      <c r="G5" s="4">
        <v>63</v>
      </c>
      <c r="H5" s="4">
        <v>55</v>
      </c>
      <c r="I5" s="4">
        <f t="shared" si="0"/>
        <v>252</v>
      </c>
      <c r="J5" s="4">
        <v>500</v>
      </c>
      <c r="K5" s="5">
        <f t="shared" si="1"/>
        <v>0.504</v>
      </c>
      <c r="L5" s="5">
        <f t="shared" si="2"/>
        <v>0.496</v>
      </c>
    </row>
    <row r="6" spans="1:12" x14ac:dyDescent="0.3">
      <c r="A6" s="2" t="s">
        <v>18</v>
      </c>
      <c r="B6" s="3" t="s">
        <v>19</v>
      </c>
      <c r="C6" s="3" t="s">
        <v>9</v>
      </c>
      <c r="D6" s="4">
        <v>31</v>
      </c>
      <c r="E6" s="4">
        <v>68</v>
      </c>
      <c r="F6" s="4">
        <v>32</v>
      </c>
      <c r="G6" s="4">
        <v>65</v>
      </c>
      <c r="H6" s="4">
        <v>64</v>
      </c>
      <c r="I6" s="4">
        <f t="shared" si="0"/>
        <v>260</v>
      </c>
      <c r="J6" s="4">
        <v>500</v>
      </c>
      <c r="K6" s="5">
        <f t="shared" si="1"/>
        <v>0.52</v>
      </c>
      <c r="L6" s="5">
        <f t="shared" si="2"/>
        <v>0.48</v>
      </c>
    </row>
    <row r="7" spans="1:12" x14ac:dyDescent="0.3">
      <c r="A7" s="2" t="s">
        <v>20</v>
      </c>
      <c r="B7" s="3" t="s">
        <v>21</v>
      </c>
      <c r="C7" s="3" t="s">
        <v>22</v>
      </c>
      <c r="D7" s="4">
        <v>88</v>
      </c>
      <c r="E7" s="4">
        <v>35</v>
      </c>
      <c r="F7" s="4">
        <v>68</v>
      </c>
      <c r="G7" s="4">
        <v>30</v>
      </c>
      <c r="H7" s="4">
        <v>90</v>
      </c>
      <c r="I7" s="4">
        <f t="shared" si="0"/>
        <v>311</v>
      </c>
      <c r="J7" s="4">
        <v>500</v>
      </c>
      <c r="K7" s="5">
        <f t="shared" si="1"/>
        <v>0.622</v>
      </c>
      <c r="L7" s="5">
        <f t="shared" si="2"/>
        <v>0.378</v>
      </c>
    </row>
    <row r="8" spans="1:12" x14ac:dyDescent="0.3">
      <c r="A8" s="2" t="s">
        <v>23</v>
      </c>
      <c r="B8" s="3" t="s">
        <v>24</v>
      </c>
      <c r="C8" s="3" t="s">
        <v>17</v>
      </c>
      <c r="D8" s="4">
        <v>93</v>
      </c>
      <c r="E8" s="4">
        <v>44</v>
      </c>
      <c r="F8" s="4">
        <v>28</v>
      </c>
      <c r="G8" s="4">
        <v>25</v>
      </c>
      <c r="H8" s="4">
        <v>49</v>
      </c>
      <c r="I8" s="4">
        <f t="shared" si="0"/>
        <v>239</v>
      </c>
      <c r="J8" s="4">
        <v>500</v>
      </c>
      <c r="K8" s="5">
        <f t="shared" si="1"/>
        <v>0.47799999999999998</v>
      </c>
      <c r="L8" s="5">
        <f t="shared" si="2"/>
        <v>0.52200000000000002</v>
      </c>
    </row>
    <row r="9" spans="1:12" x14ac:dyDescent="0.3">
      <c r="A9" s="2" t="s">
        <v>25</v>
      </c>
      <c r="B9" s="3" t="s">
        <v>26</v>
      </c>
      <c r="C9" s="3" t="s">
        <v>9</v>
      </c>
      <c r="D9" s="4">
        <v>68</v>
      </c>
      <c r="E9" s="4">
        <v>55</v>
      </c>
      <c r="F9" s="4">
        <v>78</v>
      </c>
      <c r="G9" s="4">
        <v>66</v>
      </c>
      <c r="H9" s="4">
        <v>40</v>
      </c>
      <c r="I9" s="4">
        <f t="shared" si="0"/>
        <v>307</v>
      </c>
      <c r="J9" s="4">
        <v>500</v>
      </c>
      <c r="K9" s="5">
        <f t="shared" si="1"/>
        <v>0.61399999999999999</v>
      </c>
      <c r="L9" s="5">
        <f t="shared" si="2"/>
        <v>0.38600000000000001</v>
      </c>
    </row>
    <row r="10" spans="1:12" x14ac:dyDescent="0.3">
      <c r="A10" s="2" t="s">
        <v>27</v>
      </c>
      <c r="B10" s="3" t="s">
        <v>28</v>
      </c>
      <c r="C10" s="3" t="s">
        <v>17</v>
      </c>
      <c r="D10" s="4">
        <v>29</v>
      </c>
      <c r="E10" s="4">
        <v>41</v>
      </c>
      <c r="F10" s="4">
        <v>88</v>
      </c>
      <c r="G10" s="4">
        <v>51</v>
      </c>
      <c r="H10" s="4">
        <v>40</v>
      </c>
      <c r="I10" s="4">
        <f t="shared" si="0"/>
        <v>249</v>
      </c>
      <c r="J10" s="4">
        <v>500</v>
      </c>
      <c r="K10" s="5">
        <f t="shared" si="1"/>
        <v>0.498</v>
      </c>
      <c r="L10" s="5">
        <f t="shared" si="2"/>
        <v>0.502</v>
      </c>
    </row>
    <row r="11" spans="1:12" x14ac:dyDescent="0.3">
      <c r="A11" s="2" t="s">
        <v>29</v>
      </c>
      <c r="B11" s="3" t="s">
        <v>30</v>
      </c>
      <c r="C11" s="3" t="s">
        <v>14</v>
      </c>
      <c r="D11" s="4">
        <v>48</v>
      </c>
      <c r="E11" s="4">
        <v>61</v>
      </c>
      <c r="F11" s="4">
        <v>27</v>
      </c>
      <c r="G11" s="4">
        <v>49</v>
      </c>
      <c r="H11" s="4">
        <v>24</v>
      </c>
      <c r="I11" s="4">
        <f t="shared" si="0"/>
        <v>209</v>
      </c>
      <c r="J11" s="4">
        <v>500</v>
      </c>
      <c r="K11" s="5">
        <f t="shared" si="1"/>
        <v>0.41799999999999998</v>
      </c>
      <c r="L11" s="5">
        <f t="shared" si="2"/>
        <v>0.58200000000000007</v>
      </c>
    </row>
    <row r="12" spans="1:12" x14ac:dyDescent="0.3">
      <c r="A12" s="2" t="s">
        <v>31</v>
      </c>
      <c r="B12" s="3" t="s">
        <v>32</v>
      </c>
      <c r="C12" s="3" t="s">
        <v>9</v>
      </c>
      <c r="D12" s="4">
        <v>47</v>
      </c>
      <c r="E12" s="4">
        <v>92</v>
      </c>
      <c r="F12" s="4">
        <v>60</v>
      </c>
      <c r="G12" s="4">
        <v>47</v>
      </c>
      <c r="H12" s="4">
        <v>83</v>
      </c>
      <c r="I12" s="4">
        <f t="shared" si="0"/>
        <v>329</v>
      </c>
      <c r="J12" s="4">
        <v>500</v>
      </c>
      <c r="K12" s="5">
        <f t="shared" si="1"/>
        <v>0.65800000000000003</v>
      </c>
      <c r="L12" s="5">
        <f t="shared" si="2"/>
        <v>0.34199999999999997</v>
      </c>
    </row>
    <row r="13" spans="1:12" x14ac:dyDescent="0.3">
      <c r="A13" s="2" t="s">
        <v>33</v>
      </c>
      <c r="B13" s="3" t="s">
        <v>34</v>
      </c>
      <c r="C13" s="3" t="s">
        <v>35</v>
      </c>
      <c r="D13" s="4">
        <v>53</v>
      </c>
      <c r="E13" s="4">
        <v>37</v>
      </c>
      <c r="F13" s="4">
        <v>51</v>
      </c>
      <c r="G13" s="4">
        <v>91</v>
      </c>
      <c r="H13" s="4">
        <v>88</v>
      </c>
      <c r="I13" s="4">
        <f t="shared" si="0"/>
        <v>320</v>
      </c>
      <c r="J13" s="4">
        <v>500</v>
      </c>
      <c r="K13" s="5">
        <f t="shared" si="1"/>
        <v>0.64</v>
      </c>
      <c r="L13" s="5">
        <f t="shared" si="2"/>
        <v>0.36</v>
      </c>
    </row>
    <row r="14" spans="1:12" x14ac:dyDescent="0.3">
      <c r="A14" s="2" t="s">
        <v>36</v>
      </c>
      <c r="B14" s="3" t="s">
        <v>37</v>
      </c>
      <c r="C14" s="3" t="s">
        <v>22</v>
      </c>
      <c r="D14" s="4">
        <v>94</v>
      </c>
      <c r="E14" s="4">
        <v>71</v>
      </c>
      <c r="F14" s="4">
        <v>66</v>
      </c>
      <c r="G14" s="4">
        <v>48</v>
      </c>
      <c r="H14" s="4">
        <v>37</v>
      </c>
      <c r="I14" s="4">
        <f t="shared" si="0"/>
        <v>316</v>
      </c>
      <c r="J14" s="4">
        <v>500</v>
      </c>
      <c r="K14" s="5">
        <f t="shared" si="1"/>
        <v>0.63200000000000001</v>
      </c>
      <c r="L14" s="5">
        <f t="shared" si="2"/>
        <v>0.36799999999999999</v>
      </c>
    </row>
    <row r="15" spans="1:12" x14ac:dyDescent="0.3">
      <c r="A15" s="2" t="s">
        <v>38</v>
      </c>
      <c r="B15" s="3" t="s">
        <v>39</v>
      </c>
      <c r="C15" s="3" t="s">
        <v>9</v>
      </c>
      <c r="D15" s="4">
        <v>34</v>
      </c>
      <c r="E15" s="4">
        <v>39</v>
      </c>
      <c r="F15" s="4">
        <v>40</v>
      </c>
      <c r="G15" s="4">
        <v>74</v>
      </c>
      <c r="H15" s="4">
        <v>28</v>
      </c>
      <c r="I15" s="4">
        <f t="shared" si="0"/>
        <v>215</v>
      </c>
      <c r="J15" s="4">
        <v>500</v>
      </c>
      <c r="K15" s="5">
        <f t="shared" si="1"/>
        <v>0.43</v>
      </c>
      <c r="L15" s="5">
        <f t="shared" si="2"/>
        <v>0.57000000000000006</v>
      </c>
    </row>
    <row r="16" spans="1:12" x14ac:dyDescent="0.3">
      <c r="A16" s="2" t="s">
        <v>40</v>
      </c>
      <c r="B16" s="3" t="s">
        <v>41</v>
      </c>
      <c r="C16" s="3" t="s">
        <v>22</v>
      </c>
      <c r="D16" s="4">
        <v>87</v>
      </c>
      <c r="E16" s="4">
        <v>52</v>
      </c>
      <c r="F16" s="4">
        <v>90</v>
      </c>
      <c r="G16" s="4">
        <v>21</v>
      </c>
      <c r="H16" s="4">
        <v>34</v>
      </c>
      <c r="I16" s="4">
        <f t="shared" si="0"/>
        <v>284</v>
      </c>
      <c r="J16" s="4">
        <v>500</v>
      </c>
      <c r="K16" s="5">
        <f t="shared" si="1"/>
        <v>0.56799999999999995</v>
      </c>
      <c r="L16" s="5">
        <f t="shared" si="2"/>
        <v>0.43200000000000005</v>
      </c>
    </row>
    <row r="17" spans="1:12" x14ac:dyDescent="0.3">
      <c r="A17" s="2" t="s">
        <v>42</v>
      </c>
      <c r="B17" s="3" t="s">
        <v>43</v>
      </c>
      <c r="C17" s="3" t="s">
        <v>17</v>
      </c>
      <c r="D17" s="4">
        <v>34</v>
      </c>
      <c r="E17" s="4">
        <v>57</v>
      </c>
      <c r="F17" s="4">
        <v>75</v>
      </c>
      <c r="G17" s="4">
        <v>40</v>
      </c>
      <c r="H17" s="4">
        <v>78</v>
      </c>
      <c r="I17" s="4">
        <f t="shared" si="0"/>
        <v>284</v>
      </c>
      <c r="J17" s="4">
        <v>500</v>
      </c>
      <c r="K17" s="5">
        <f t="shared" si="1"/>
        <v>0.56799999999999995</v>
      </c>
      <c r="L17" s="5">
        <f t="shared" si="2"/>
        <v>0.43200000000000005</v>
      </c>
    </row>
    <row r="18" spans="1:12" x14ac:dyDescent="0.3">
      <c r="A18" s="2" t="s">
        <v>44</v>
      </c>
      <c r="B18" s="3" t="s">
        <v>45</v>
      </c>
      <c r="C18" s="3" t="s">
        <v>14</v>
      </c>
      <c r="D18" s="4">
        <v>42</v>
      </c>
      <c r="E18" s="4">
        <v>84</v>
      </c>
      <c r="F18" s="4">
        <v>33</v>
      </c>
      <c r="G18" s="4">
        <v>58</v>
      </c>
      <c r="H18" s="4">
        <v>84</v>
      </c>
      <c r="I18" s="4">
        <f t="shared" si="0"/>
        <v>301</v>
      </c>
      <c r="J18" s="4">
        <v>500</v>
      </c>
      <c r="K18" s="5">
        <f t="shared" si="1"/>
        <v>0.60199999999999998</v>
      </c>
      <c r="L18" s="5">
        <f t="shared" si="2"/>
        <v>0.39800000000000002</v>
      </c>
    </row>
    <row r="19" spans="1:12" x14ac:dyDescent="0.3">
      <c r="A19" s="2" t="s">
        <v>46</v>
      </c>
      <c r="B19" s="3" t="s">
        <v>47</v>
      </c>
      <c r="C19" s="3" t="s">
        <v>17</v>
      </c>
      <c r="D19" s="4">
        <v>40</v>
      </c>
      <c r="E19" s="4">
        <v>89</v>
      </c>
      <c r="F19" s="4">
        <v>87</v>
      </c>
      <c r="G19" s="4">
        <v>20</v>
      </c>
      <c r="H19" s="4">
        <v>61</v>
      </c>
      <c r="I19" s="4">
        <f t="shared" si="0"/>
        <v>297</v>
      </c>
      <c r="J19" s="4">
        <v>500</v>
      </c>
      <c r="K19" s="5">
        <f t="shared" si="1"/>
        <v>0.59399999999999997</v>
      </c>
      <c r="L19" s="5">
        <f t="shared" si="2"/>
        <v>0.40600000000000003</v>
      </c>
    </row>
    <row r="20" spans="1:12" x14ac:dyDescent="0.3">
      <c r="A20" s="2" t="s">
        <v>48</v>
      </c>
      <c r="B20" s="3" t="s">
        <v>49</v>
      </c>
      <c r="C20" s="3" t="s">
        <v>17</v>
      </c>
      <c r="D20" s="4">
        <v>59</v>
      </c>
      <c r="E20" s="4">
        <v>50</v>
      </c>
      <c r="F20" s="4">
        <v>27</v>
      </c>
      <c r="G20" s="4">
        <v>50</v>
      </c>
      <c r="H20" s="4">
        <v>92</v>
      </c>
      <c r="I20" s="4">
        <f t="shared" si="0"/>
        <v>278</v>
      </c>
      <c r="J20" s="4">
        <v>500</v>
      </c>
      <c r="K20" s="5">
        <f t="shared" si="1"/>
        <v>0.55600000000000005</v>
      </c>
      <c r="L20" s="5">
        <f t="shared" si="2"/>
        <v>0.44399999999999995</v>
      </c>
    </row>
    <row r="21" spans="1:12" x14ac:dyDescent="0.3">
      <c r="A21" s="2" t="s">
        <v>50</v>
      </c>
      <c r="B21" s="3" t="s">
        <v>51</v>
      </c>
      <c r="C21" s="3" t="s">
        <v>9</v>
      </c>
      <c r="D21" s="4">
        <v>88</v>
      </c>
      <c r="E21" s="4">
        <v>36</v>
      </c>
      <c r="F21" s="4">
        <v>36</v>
      </c>
      <c r="G21" s="4">
        <v>80</v>
      </c>
      <c r="H21" s="4">
        <v>90</v>
      </c>
      <c r="I21" s="4">
        <f t="shared" si="0"/>
        <v>330</v>
      </c>
      <c r="J21" s="4">
        <v>500</v>
      </c>
      <c r="K21" s="5">
        <f t="shared" si="1"/>
        <v>0.66</v>
      </c>
      <c r="L21" s="5">
        <f t="shared" si="2"/>
        <v>0.33999999999999997</v>
      </c>
    </row>
    <row r="22" spans="1:12" x14ac:dyDescent="0.3">
      <c r="A22" s="2" t="s">
        <v>52</v>
      </c>
      <c r="B22" s="3" t="s">
        <v>53</v>
      </c>
      <c r="C22" s="3" t="s">
        <v>14</v>
      </c>
      <c r="D22" s="4">
        <v>74</v>
      </c>
      <c r="E22" s="4">
        <v>47</v>
      </c>
      <c r="F22" s="4">
        <v>89</v>
      </c>
      <c r="G22" s="4">
        <v>45</v>
      </c>
      <c r="H22" s="4">
        <v>59</v>
      </c>
      <c r="I22" s="4">
        <f t="shared" si="0"/>
        <v>314</v>
      </c>
      <c r="J22" s="4">
        <v>500</v>
      </c>
      <c r="K22" s="5">
        <f t="shared" si="1"/>
        <v>0.628</v>
      </c>
      <c r="L22" s="5">
        <f t="shared" si="2"/>
        <v>0.372</v>
      </c>
    </row>
    <row r="23" spans="1:12" x14ac:dyDescent="0.3">
      <c r="A23" s="2" t="s">
        <v>54</v>
      </c>
      <c r="B23" s="3" t="s">
        <v>55</v>
      </c>
      <c r="C23" s="3" t="s">
        <v>22</v>
      </c>
      <c r="D23" s="4">
        <v>86</v>
      </c>
      <c r="E23" s="4">
        <v>77</v>
      </c>
      <c r="F23" s="4">
        <v>35</v>
      </c>
      <c r="G23" s="4">
        <v>51</v>
      </c>
      <c r="H23" s="4">
        <v>48</v>
      </c>
      <c r="I23" s="4">
        <f t="shared" si="0"/>
        <v>297</v>
      </c>
      <c r="J23" s="4">
        <v>500</v>
      </c>
      <c r="K23" s="5">
        <f t="shared" si="1"/>
        <v>0.59399999999999997</v>
      </c>
      <c r="L23" s="5">
        <f t="shared" si="2"/>
        <v>0.40600000000000003</v>
      </c>
    </row>
    <row r="24" spans="1:12" x14ac:dyDescent="0.3">
      <c r="A24" s="2" t="s">
        <v>56</v>
      </c>
      <c r="B24" s="3" t="s">
        <v>57</v>
      </c>
      <c r="C24" s="3" t="s">
        <v>14</v>
      </c>
      <c r="D24" s="4">
        <v>90</v>
      </c>
      <c r="E24" s="4">
        <v>49</v>
      </c>
      <c r="F24" s="4">
        <v>95</v>
      </c>
      <c r="G24" s="4">
        <v>48</v>
      </c>
      <c r="H24" s="4">
        <v>20</v>
      </c>
      <c r="I24" s="4">
        <f t="shared" si="0"/>
        <v>302</v>
      </c>
      <c r="J24" s="4">
        <v>500</v>
      </c>
      <c r="K24" s="5">
        <f t="shared" si="1"/>
        <v>0.60399999999999998</v>
      </c>
      <c r="L24" s="5">
        <f t="shared" si="2"/>
        <v>0.39600000000000002</v>
      </c>
    </row>
    <row r="25" spans="1:12" x14ac:dyDescent="0.3">
      <c r="A25" s="2" t="s">
        <v>58</v>
      </c>
      <c r="B25" s="3" t="s">
        <v>59</v>
      </c>
      <c r="C25" s="3" t="s">
        <v>35</v>
      </c>
      <c r="D25" s="4">
        <v>28</v>
      </c>
      <c r="E25" s="4">
        <v>24</v>
      </c>
      <c r="F25" s="4">
        <v>62</v>
      </c>
      <c r="G25" s="4">
        <v>29</v>
      </c>
      <c r="H25" s="4">
        <v>85</v>
      </c>
      <c r="I25" s="4">
        <f t="shared" si="0"/>
        <v>228</v>
      </c>
      <c r="J25" s="4">
        <v>500</v>
      </c>
      <c r="K25" s="5">
        <f t="shared" si="1"/>
        <v>0.45600000000000002</v>
      </c>
      <c r="L25" s="5">
        <f t="shared" si="2"/>
        <v>0.54400000000000004</v>
      </c>
    </row>
    <row r="26" spans="1:12" x14ac:dyDescent="0.3">
      <c r="A26" s="2" t="s">
        <v>60</v>
      </c>
      <c r="B26" s="3" t="s">
        <v>61</v>
      </c>
      <c r="C26" s="3" t="s">
        <v>35</v>
      </c>
      <c r="D26" s="4">
        <v>89</v>
      </c>
      <c r="E26" s="4">
        <v>36</v>
      </c>
      <c r="F26" s="4">
        <v>93</v>
      </c>
      <c r="G26" s="4">
        <v>93</v>
      </c>
      <c r="H26" s="4">
        <v>80</v>
      </c>
      <c r="I26" s="4">
        <f t="shared" si="0"/>
        <v>391</v>
      </c>
      <c r="J26" s="4">
        <v>500</v>
      </c>
      <c r="K26" s="5">
        <f t="shared" si="1"/>
        <v>0.78200000000000003</v>
      </c>
      <c r="L26" s="5">
        <f t="shared" si="2"/>
        <v>0.21799999999999997</v>
      </c>
    </row>
    <row r="27" spans="1:12" x14ac:dyDescent="0.3">
      <c r="A27" s="2" t="s">
        <v>62</v>
      </c>
      <c r="B27" s="3" t="s">
        <v>63</v>
      </c>
      <c r="C27" s="3" t="s">
        <v>35</v>
      </c>
      <c r="D27" s="4">
        <v>32</v>
      </c>
      <c r="E27" s="4">
        <v>32</v>
      </c>
      <c r="F27" s="4">
        <v>75</v>
      </c>
      <c r="G27" s="4">
        <v>65</v>
      </c>
      <c r="H27" s="4">
        <v>74</v>
      </c>
      <c r="I27" s="4">
        <f t="shared" si="0"/>
        <v>278</v>
      </c>
      <c r="J27" s="4">
        <v>500</v>
      </c>
      <c r="K27" s="5">
        <f t="shared" si="1"/>
        <v>0.55600000000000005</v>
      </c>
      <c r="L27" s="5">
        <f t="shared" si="2"/>
        <v>0.44399999999999995</v>
      </c>
    </row>
    <row r="28" spans="1:12" x14ac:dyDescent="0.3">
      <c r="A28" s="2" t="s">
        <v>64</v>
      </c>
      <c r="B28" s="3" t="s">
        <v>65</v>
      </c>
      <c r="C28" s="3" t="s">
        <v>9</v>
      </c>
      <c r="D28" s="4">
        <v>27</v>
      </c>
      <c r="E28" s="4">
        <v>71</v>
      </c>
      <c r="F28" s="4">
        <v>63</v>
      </c>
      <c r="G28" s="4">
        <v>33</v>
      </c>
      <c r="H28" s="4">
        <v>51</v>
      </c>
      <c r="I28" s="4">
        <f t="shared" si="0"/>
        <v>245</v>
      </c>
      <c r="J28" s="4">
        <v>500</v>
      </c>
      <c r="K28" s="5">
        <f t="shared" si="1"/>
        <v>0.49</v>
      </c>
      <c r="L28" s="5">
        <f t="shared" si="2"/>
        <v>0.51</v>
      </c>
    </row>
    <row r="29" spans="1:12" x14ac:dyDescent="0.3">
      <c r="A29" s="2" t="s">
        <v>66</v>
      </c>
      <c r="B29" s="3" t="s">
        <v>67</v>
      </c>
      <c r="C29" s="3" t="s">
        <v>22</v>
      </c>
      <c r="D29" s="4">
        <v>37</v>
      </c>
      <c r="E29" s="4">
        <v>74</v>
      </c>
      <c r="F29" s="4">
        <v>43</v>
      </c>
      <c r="G29" s="4">
        <v>55</v>
      </c>
      <c r="H29" s="4">
        <v>79</v>
      </c>
      <c r="I29" s="4">
        <f t="shared" si="0"/>
        <v>288</v>
      </c>
      <c r="J29" s="4">
        <v>500</v>
      </c>
      <c r="K29" s="5">
        <f t="shared" si="1"/>
        <v>0.57599999999999996</v>
      </c>
      <c r="L29" s="5">
        <f t="shared" si="2"/>
        <v>0.42400000000000004</v>
      </c>
    </row>
    <row r="30" spans="1:12" x14ac:dyDescent="0.3">
      <c r="A30" s="2" t="s">
        <v>68</v>
      </c>
      <c r="B30" s="3" t="s">
        <v>69</v>
      </c>
      <c r="C30" s="3" t="s">
        <v>14</v>
      </c>
      <c r="D30" s="4">
        <v>32</v>
      </c>
      <c r="E30" s="4">
        <v>26</v>
      </c>
      <c r="F30" s="4">
        <v>89</v>
      </c>
      <c r="G30" s="4">
        <v>21</v>
      </c>
      <c r="H30" s="4">
        <v>31</v>
      </c>
      <c r="I30" s="4">
        <f t="shared" si="0"/>
        <v>199</v>
      </c>
      <c r="J30" s="4">
        <v>500</v>
      </c>
      <c r="K30" s="5">
        <f t="shared" si="1"/>
        <v>0.39800000000000002</v>
      </c>
      <c r="L30" s="5">
        <f t="shared" si="2"/>
        <v>0.60199999999999998</v>
      </c>
    </row>
    <row r="31" spans="1:12" x14ac:dyDescent="0.3">
      <c r="A31" s="2" t="s">
        <v>70</v>
      </c>
      <c r="B31" s="3" t="s">
        <v>71</v>
      </c>
      <c r="C31" s="3" t="s">
        <v>22</v>
      </c>
      <c r="D31" s="4">
        <v>81</v>
      </c>
      <c r="E31" s="4">
        <v>47</v>
      </c>
      <c r="F31" s="4">
        <v>71</v>
      </c>
      <c r="G31" s="4">
        <v>27</v>
      </c>
      <c r="H31" s="4">
        <v>41</v>
      </c>
      <c r="I31" s="4">
        <f t="shared" si="0"/>
        <v>267</v>
      </c>
      <c r="J31" s="4">
        <v>500</v>
      </c>
      <c r="K31" s="5">
        <f t="shared" si="1"/>
        <v>0.53400000000000003</v>
      </c>
      <c r="L31" s="5">
        <f t="shared" si="2"/>
        <v>0.46599999999999997</v>
      </c>
    </row>
    <row r="32" spans="1:12" x14ac:dyDescent="0.3">
      <c r="A32" s="2" t="s">
        <v>72</v>
      </c>
      <c r="B32" s="3" t="s">
        <v>73</v>
      </c>
      <c r="C32" s="3" t="s">
        <v>17</v>
      </c>
      <c r="D32" s="4">
        <v>78</v>
      </c>
      <c r="E32" s="4">
        <v>56</v>
      </c>
      <c r="F32" s="4">
        <v>74</v>
      </c>
      <c r="G32" s="4">
        <v>91</v>
      </c>
      <c r="H32" s="4">
        <v>82</v>
      </c>
      <c r="I32" s="4">
        <f t="shared" si="0"/>
        <v>381</v>
      </c>
      <c r="J32" s="4">
        <v>500</v>
      </c>
      <c r="K32" s="5">
        <f t="shared" si="1"/>
        <v>0.76200000000000001</v>
      </c>
      <c r="L32" s="5">
        <f t="shared" si="2"/>
        <v>0.23799999999999999</v>
      </c>
    </row>
    <row r="33" spans="1:12" x14ac:dyDescent="0.3">
      <c r="A33" s="2" t="s">
        <v>74</v>
      </c>
      <c r="B33" s="3" t="s">
        <v>75</v>
      </c>
      <c r="C33" s="3" t="s">
        <v>35</v>
      </c>
      <c r="D33" s="4">
        <v>27</v>
      </c>
      <c r="E33" s="4">
        <v>94</v>
      </c>
      <c r="F33" s="4">
        <v>89</v>
      </c>
      <c r="G33" s="4">
        <v>27</v>
      </c>
      <c r="H33" s="4">
        <v>60</v>
      </c>
      <c r="I33" s="4">
        <f t="shared" si="0"/>
        <v>297</v>
      </c>
      <c r="J33" s="4">
        <v>500</v>
      </c>
      <c r="K33" s="5">
        <f t="shared" si="1"/>
        <v>0.59399999999999997</v>
      </c>
      <c r="L33" s="5">
        <f t="shared" si="2"/>
        <v>0.40600000000000003</v>
      </c>
    </row>
    <row r="34" spans="1:12" x14ac:dyDescent="0.3">
      <c r="A34" s="2" t="s">
        <v>76</v>
      </c>
      <c r="B34" s="3" t="s">
        <v>77</v>
      </c>
      <c r="C34" s="3" t="s">
        <v>22</v>
      </c>
      <c r="D34" s="4">
        <v>84</v>
      </c>
      <c r="E34" s="4">
        <v>87</v>
      </c>
      <c r="F34" s="4">
        <v>40</v>
      </c>
      <c r="G34" s="4">
        <v>27</v>
      </c>
      <c r="H34" s="4">
        <v>85</v>
      </c>
      <c r="I34" s="4">
        <f t="shared" ref="I34:I65" si="3">SUM(D34:H34)</f>
        <v>323</v>
      </c>
      <c r="J34" s="4">
        <v>500</v>
      </c>
      <c r="K34" s="5">
        <f t="shared" ref="K34:K65" si="4">I34/J34</f>
        <v>0.64600000000000002</v>
      </c>
      <c r="L34" s="5">
        <f t="shared" ref="L34:L65" si="5">1-K34</f>
        <v>0.35399999999999998</v>
      </c>
    </row>
    <row r="35" spans="1:12" x14ac:dyDescent="0.3">
      <c r="A35" s="2" t="s">
        <v>78</v>
      </c>
      <c r="B35" s="3" t="s">
        <v>79</v>
      </c>
      <c r="C35" s="3" t="s">
        <v>14</v>
      </c>
      <c r="D35" s="4">
        <v>28</v>
      </c>
      <c r="E35" s="4">
        <v>50</v>
      </c>
      <c r="F35" s="4">
        <v>71</v>
      </c>
      <c r="G35" s="4">
        <v>35</v>
      </c>
      <c r="H35" s="4">
        <v>92</v>
      </c>
      <c r="I35" s="4">
        <f t="shared" si="3"/>
        <v>276</v>
      </c>
      <c r="J35" s="4">
        <v>500</v>
      </c>
      <c r="K35" s="5">
        <f t="shared" si="4"/>
        <v>0.55200000000000005</v>
      </c>
      <c r="L35" s="5">
        <f t="shared" si="5"/>
        <v>0.44799999999999995</v>
      </c>
    </row>
    <row r="36" spans="1:12" x14ac:dyDescent="0.3">
      <c r="A36" s="2" t="s">
        <v>80</v>
      </c>
      <c r="B36" s="3" t="s">
        <v>81</v>
      </c>
      <c r="C36" s="3" t="s">
        <v>9</v>
      </c>
      <c r="D36" s="4">
        <v>30</v>
      </c>
      <c r="E36" s="4">
        <v>73</v>
      </c>
      <c r="F36" s="4">
        <v>94</v>
      </c>
      <c r="G36" s="4">
        <v>92</v>
      </c>
      <c r="H36" s="4">
        <v>86</v>
      </c>
      <c r="I36" s="4">
        <f t="shared" si="3"/>
        <v>375</v>
      </c>
      <c r="J36" s="4">
        <v>500</v>
      </c>
      <c r="K36" s="5">
        <f t="shared" si="4"/>
        <v>0.75</v>
      </c>
      <c r="L36" s="5">
        <f t="shared" si="5"/>
        <v>0.25</v>
      </c>
    </row>
    <row r="37" spans="1:12" x14ac:dyDescent="0.3">
      <c r="A37" s="2" t="s">
        <v>82</v>
      </c>
      <c r="B37" s="3" t="s">
        <v>83</v>
      </c>
      <c r="C37" s="3" t="s">
        <v>17</v>
      </c>
      <c r="D37" s="4">
        <v>50</v>
      </c>
      <c r="E37" s="4">
        <v>53</v>
      </c>
      <c r="F37" s="4">
        <v>70</v>
      </c>
      <c r="G37" s="4">
        <v>36</v>
      </c>
      <c r="H37" s="4">
        <v>58</v>
      </c>
      <c r="I37" s="4">
        <f t="shared" si="3"/>
        <v>267</v>
      </c>
      <c r="J37" s="4">
        <v>500</v>
      </c>
      <c r="K37" s="5">
        <f t="shared" si="4"/>
        <v>0.53400000000000003</v>
      </c>
      <c r="L37" s="5">
        <f t="shared" si="5"/>
        <v>0.46599999999999997</v>
      </c>
    </row>
    <row r="38" spans="1:12" x14ac:dyDescent="0.3">
      <c r="A38" s="2" t="s">
        <v>84</v>
      </c>
      <c r="B38" s="3" t="s">
        <v>85</v>
      </c>
      <c r="C38" s="3" t="s">
        <v>9</v>
      </c>
      <c r="D38" s="4">
        <v>78</v>
      </c>
      <c r="E38" s="4">
        <v>92</v>
      </c>
      <c r="F38" s="4">
        <v>32</v>
      </c>
      <c r="G38" s="4">
        <v>29</v>
      </c>
      <c r="H38" s="4">
        <v>88</v>
      </c>
      <c r="I38" s="4">
        <f t="shared" si="3"/>
        <v>319</v>
      </c>
      <c r="J38" s="4">
        <v>500</v>
      </c>
      <c r="K38" s="5">
        <f t="shared" si="4"/>
        <v>0.63800000000000001</v>
      </c>
      <c r="L38" s="5">
        <f t="shared" si="5"/>
        <v>0.36199999999999999</v>
      </c>
    </row>
    <row r="39" spans="1:12" x14ac:dyDescent="0.3">
      <c r="A39" s="2" t="s">
        <v>86</v>
      </c>
      <c r="B39" s="3" t="s">
        <v>87</v>
      </c>
      <c r="C39" s="3" t="s">
        <v>35</v>
      </c>
      <c r="D39" s="4">
        <v>64</v>
      </c>
      <c r="E39" s="4">
        <v>28</v>
      </c>
      <c r="F39" s="4">
        <v>51</v>
      </c>
      <c r="G39" s="4">
        <v>67</v>
      </c>
      <c r="H39" s="4">
        <v>56</v>
      </c>
      <c r="I39" s="4">
        <f t="shared" si="3"/>
        <v>266</v>
      </c>
      <c r="J39" s="4">
        <v>500</v>
      </c>
      <c r="K39" s="5">
        <f t="shared" si="4"/>
        <v>0.53200000000000003</v>
      </c>
      <c r="L39" s="5">
        <f t="shared" si="5"/>
        <v>0.46799999999999997</v>
      </c>
    </row>
    <row r="40" spans="1:12" x14ac:dyDescent="0.3">
      <c r="A40" s="2" t="s">
        <v>88</v>
      </c>
      <c r="B40" s="3" t="s">
        <v>89</v>
      </c>
      <c r="C40" s="3" t="s">
        <v>17</v>
      </c>
      <c r="D40" s="4">
        <v>87</v>
      </c>
      <c r="E40" s="4">
        <v>21</v>
      </c>
      <c r="F40" s="4">
        <v>90</v>
      </c>
      <c r="G40" s="4">
        <v>58</v>
      </c>
      <c r="H40" s="4">
        <v>33</v>
      </c>
      <c r="I40" s="4">
        <f t="shared" si="3"/>
        <v>289</v>
      </c>
      <c r="J40" s="4">
        <v>500</v>
      </c>
      <c r="K40" s="5">
        <f t="shared" si="4"/>
        <v>0.57799999999999996</v>
      </c>
      <c r="L40" s="5">
        <f t="shared" si="5"/>
        <v>0.42200000000000004</v>
      </c>
    </row>
    <row r="41" spans="1:12" x14ac:dyDescent="0.3">
      <c r="A41" s="2" t="s">
        <v>90</v>
      </c>
      <c r="B41" s="3" t="s">
        <v>91</v>
      </c>
      <c r="C41" s="3" t="s">
        <v>9</v>
      </c>
      <c r="D41" s="4">
        <v>90</v>
      </c>
      <c r="E41" s="4">
        <v>39</v>
      </c>
      <c r="F41" s="4">
        <v>54</v>
      </c>
      <c r="G41" s="4">
        <v>56</v>
      </c>
      <c r="H41" s="4">
        <v>46</v>
      </c>
      <c r="I41" s="4">
        <f t="shared" si="3"/>
        <v>285</v>
      </c>
      <c r="J41" s="4">
        <v>500</v>
      </c>
      <c r="K41" s="5">
        <f t="shared" si="4"/>
        <v>0.56999999999999995</v>
      </c>
      <c r="L41" s="5">
        <f t="shared" si="5"/>
        <v>0.43000000000000005</v>
      </c>
    </row>
    <row r="42" spans="1:12" x14ac:dyDescent="0.3">
      <c r="A42" s="2" t="s">
        <v>92</v>
      </c>
      <c r="B42" s="3" t="s">
        <v>93</v>
      </c>
      <c r="C42" s="3" t="s">
        <v>17</v>
      </c>
      <c r="D42" s="4">
        <v>84</v>
      </c>
      <c r="E42" s="4">
        <v>82</v>
      </c>
      <c r="F42" s="4">
        <v>52</v>
      </c>
      <c r="G42" s="4">
        <v>26</v>
      </c>
      <c r="H42" s="4">
        <v>31</v>
      </c>
      <c r="I42" s="4">
        <f t="shared" si="3"/>
        <v>275</v>
      </c>
      <c r="J42" s="4">
        <v>500</v>
      </c>
      <c r="K42" s="5">
        <f t="shared" si="4"/>
        <v>0.55000000000000004</v>
      </c>
      <c r="L42" s="5">
        <f t="shared" si="5"/>
        <v>0.44999999999999996</v>
      </c>
    </row>
    <row r="43" spans="1:12" x14ac:dyDescent="0.3">
      <c r="A43" s="2" t="s">
        <v>94</v>
      </c>
      <c r="B43" s="3" t="s">
        <v>95</v>
      </c>
      <c r="C43" s="3" t="s">
        <v>9</v>
      </c>
      <c r="D43" s="4">
        <v>20</v>
      </c>
      <c r="E43" s="4">
        <v>62</v>
      </c>
      <c r="F43" s="4">
        <v>36</v>
      </c>
      <c r="G43" s="4">
        <v>53</v>
      </c>
      <c r="H43" s="4">
        <v>40</v>
      </c>
      <c r="I43" s="4">
        <f t="shared" si="3"/>
        <v>211</v>
      </c>
      <c r="J43" s="4">
        <v>500</v>
      </c>
      <c r="K43" s="5">
        <f t="shared" si="4"/>
        <v>0.42199999999999999</v>
      </c>
      <c r="L43" s="5">
        <f t="shared" si="5"/>
        <v>0.57800000000000007</v>
      </c>
    </row>
    <row r="44" spans="1:12" x14ac:dyDescent="0.3">
      <c r="A44" s="2" t="s">
        <v>96</v>
      </c>
      <c r="B44" s="3" t="s">
        <v>97</v>
      </c>
      <c r="C44" s="3" t="s">
        <v>14</v>
      </c>
      <c r="D44" s="4">
        <v>90</v>
      </c>
      <c r="E44" s="4">
        <v>38</v>
      </c>
      <c r="F44" s="4">
        <v>75</v>
      </c>
      <c r="G44" s="4">
        <v>36</v>
      </c>
      <c r="H44" s="4">
        <v>25</v>
      </c>
      <c r="I44" s="4">
        <f t="shared" si="3"/>
        <v>264</v>
      </c>
      <c r="J44" s="4">
        <v>500</v>
      </c>
      <c r="K44" s="5">
        <f t="shared" si="4"/>
        <v>0.52800000000000002</v>
      </c>
      <c r="L44" s="5">
        <f t="shared" si="5"/>
        <v>0.47199999999999998</v>
      </c>
    </row>
    <row r="45" spans="1:12" x14ac:dyDescent="0.3">
      <c r="A45" s="2" t="s">
        <v>98</v>
      </c>
      <c r="B45" s="3" t="s">
        <v>99</v>
      </c>
      <c r="C45" s="3" t="s">
        <v>17</v>
      </c>
      <c r="D45" s="4">
        <v>46</v>
      </c>
      <c r="E45" s="4">
        <v>51</v>
      </c>
      <c r="F45" s="4">
        <v>33</v>
      </c>
      <c r="G45" s="4">
        <v>65</v>
      </c>
      <c r="H45" s="4">
        <v>91</v>
      </c>
      <c r="I45" s="4">
        <f t="shared" si="3"/>
        <v>286</v>
      </c>
      <c r="J45" s="4">
        <v>500</v>
      </c>
      <c r="K45" s="5">
        <f t="shared" si="4"/>
        <v>0.57199999999999995</v>
      </c>
      <c r="L45" s="5">
        <f t="shared" si="5"/>
        <v>0.42800000000000005</v>
      </c>
    </row>
    <row r="46" spans="1:12" x14ac:dyDescent="0.3">
      <c r="A46" s="2" t="s">
        <v>100</v>
      </c>
      <c r="B46" s="3" t="s">
        <v>101</v>
      </c>
      <c r="C46" s="3" t="s">
        <v>35</v>
      </c>
      <c r="D46" s="4">
        <v>40</v>
      </c>
      <c r="E46" s="4">
        <v>42</v>
      </c>
      <c r="F46" s="4">
        <v>72</v>
      </c>
      <c r="G46" s="4">
        <v>23</v>
      </c>
      <c r="H46" s="4">
        <v>42</v>
      </c>
      <c r="I46" s="4">
        <f t="shared" si="3"/>
        <v>219</v>
      </c>
      <c r="J46" s="4">
        <v>500</v>
      </c>
      <c r="K46" s="5">
        <f t="shared" si="4"/>
        <v>0.438</v>
      </c>
      <c r="L46" s="5">
        <f t="shared" si="5"/>
        <v>0.56200000000000006</v>
      </c>
    </row>
    <row r="47" spans="1:12" x14ac:dyDescent="0.3">
      <c r="A47" s="2" t="s">
        <v>102</v>
      </c>
      <c r="B47" s="3" t="s">
        <v>103</v>
      </c>
      <c r="C47" s="3" t="s">
        <v>35</v>
      </c>
      <c r="D47" s="4">
        <v>54</v>
      </c>
      <c r="E47" s="4">
        <v>40</v>
      </c>
      <c r="F47" s="4">
        <v>33</v>
      </c>
      <c r="G47" s="4">
        <v>68</v>
      </c>
      <c r="H47" s="4">
        <v>24</v>
      </c>
      <c r="I47" s="4">
        <f t="shared" si="3"/>
        <v>219</v>
      </c>
      <c r="J47" s="4">
        <v>500</v>
      </c>
      <c r="K47" s="5">
        <f t="shared" si="4"/>
        <v>0.438</v>
      </c>
      <c r="L47" s="5">
        <f t="shared" si="5"/>
        <v>0.56200000000000006</v>
      </c>
    </row>
    <row r="48" spans="1:12" x14ac:dyDescent="0.3">
      <c r="A48" s="2" t="s">
        <v>104</v>
      </c>
      <c r="B48" s="3" t="s">
        <v>105</v>
      </c>
      <c r="C48" s="3" t="s">
        <v>22</v>
      </c>
      <c r="D48" s="4">
        <v>64</v>
      </c>
      <c r="E48" s="4">
        <v>59</v>
      </c>
      <c r="F48" s="4">
        <v>49</v>
      </c>
      <c r="G48" s="4">
        <v>48</v>
      </c>
      <c r="H48" s="4">
        <v>23</v>
      </c>
      <c r="I48" s="4">
        <f t="shared" si="3"/>
        <v>243</v>
      </c>
      <c r="J48" s="4">
        <v>500</v>
      </c>
      <c r="K48" s="5">
        <f t="shared" si="4"/>
        <v>0.48599999999999999</v>
      </c>
      <c r="L48" s="5">
        <f t="shared" si="5"/>
        <v>0.51400000000000001</v>
      </c>
    </row>
    <row r="49" spans="1:12" x14ac:dyDescent="0.3">
      <c r="A49" s="2" t="s">
        <v>106</v>
      </c>
      <c r="B49" s="3" t="s">
        <v>107</v>
      </c>
      <c r="C49" s="3" t="s">
        <v>17</v>
      </c>
      <c r="D49" s="4">
        <v>55</v>
      </c>
      <c r="E49" s="4">
        <v>28</v>
      </c>
      <c r="F49" s="4">
        <v>55</v>
      </c>
      <c r="G49" s="4">
        <v>64</v>
      </c>
      <c r="H49" s="4">
        <v>85</v>
      </c>
      <c r="I49" s="4">
        <f t="shared" si="3"/>
        <v>287</v>
      </c>
      <c r="J49" s="4">
        <v>500</v>
      </c>
      <c r="K49" s="5">
        <f t="shared" si="4"/>
        <v>0.57399999999999995</v>
      </c>
      <c r="L49" s="5">
        <f t="shared" si="5"/>
        <v>0.42600000000000005</v>
      </c>
    </row>
    <row r="50" spans="1:12" x14ac:dyDescent="0.3">
      <c r="A50" s="2" t="s">
        <v>108</v>
      </c>
      <c r="B50" s="3" t="s">
        <v>109</v>
      </c>
      <c r="C50" s="3" t="s">
        <v>17</v>
      </c>
      <c r="D50" s="4">
        <v>23</v>
      </c>
      <c r="E50" s="4">
        <v>34</v>
      </c>
      <c r="F50" s="4">
        <v>53</v>
      </c>
      <c r="G50" s="4">
        <v>42</v>
      </c>
      <c r="H50" s="4">
        <v>94</v>
      </c>
      <c r="I50" s="4">
        <f t="shared" si="3"/>
        <v>246</v>
      </c>
      <c r="J50" s="4">
        <v>500</v>
      </c>
      <c r="K50" s="5">
        <f t="shared" si="4"/>
        <v>0.49199999999999999</v>
      </c>
      <c r="L50" s="5">
        <f t="shared" si="5"/>
        <v>0.50800000000000001</v>
      </c>
    </row>
    <row r="51" spans="1:12" x14ac:dyDescent="0.3">
      <c r="A51" s="2" t="s">
        <v>110</v>
      </c>
      <c r="B51" s="3" t="s">
        <v>111</v>
      </c>
      <c r="C51" s="3" t="s">
        <v>14</v>
      </c>
      <c r="D51" s="4">
        <v>75</v>
      </c>
      <c r="E51" s="4">
        <v>64</v>
      </c>
      <c r="F51" s="4">
        <v>60</v>
      </c>
      <c r="G51" s="4">
        <v>75</v>
      </c>
      <c r="H51" s="4">
        <v>85</v>
      </c>
      <c r="I51" s="4">
        <f t="shared" si="3"/>
        <v>359</v>
      </c>
      <c r="J51" s="4">
        <v>500</v>
      </c>
      <c r="K51" s="5">
        <f t="shared" si="4"/>
        <v>0.71799999999999997</v>
      </c>
      <c r="L51" s="5">
        <f t="shared" si="5"/>
        <v>0.28200000000000003</v>
      </c>
    </row>
    <row r="52" spans="1:12" x14ac:dyDescent="0.3">
      <c r="A52" s="2" t="s">
        <v>112</v>
      </c>
      <c r="B52" s="3" t="s">
        <v>113</v>
      </c>
      <c r="C52" s="3" t="s">
        <v>35</v>
      </c>
      <c r="D52" s="4">
        <v>52</v>
      </c>
      <c r="E52" s="4">
        <v>25</v>
      </c>
      <c r="F52" s="4">
        <v>75</v>
      </c>
      <c r="G52" s="4">
        <v>20</v>
      </c>
      <c r="H52" s="4">
        <v>86</v>
      </c>
      <c r="I52" s="4">
        <f t="shared" si="3"/>
        <v>258</v>
      </c>
      <c r="J52" s="4">
        <v>500</v>
      </c>
      <c r="K52" s="5">
        <f t="shared" si="4"/>
        <v>0.51600000000000001</v>
      </c>
      <c r="L52" s="5">
        <f t="shared" si="5"/>
        <v>0.48399999999999999</v>
      </c>
    </row>
    <row r="53" spans="1:12" x14ac:dyDescent="0.3">
      <c r="A53" s="2" t="s">
        <v>114</v>
      </c>
      <c r="B53" s="3" t="s">
        <v>115</v>
      </c>
      <c r="C53" s="3" t="s">
        <v>17</v>
      </c>
      <c r="D53" s="4">
        <v>75</v>
      </c>
      <c r="E53" s="4">
        <v>28</v>
      </c>
      <c r="F53" s="4">
        <v>62</v>
      </c>
      <c r="G53" s="4">
        <v>60</v>
      </c>
      <c r="H53" s="4">
        <v>35</v>
      </c>
      <c r="I53" s="4">
        <f t="shared" si="3"/>
        <v>260</v>
      </c>
      <c r="J53" s="4">
        <v>500</v>
      </c>
      <c r="K53" s="5">
        <f t="shared" si="4"/>
        <v>0.52</v>
      </c>
      <c r="L53" s="5">
        <f t="shared" si="5"/>
        <v>0.48</v>
      </c>
    </row>
    <row r="54" spans="1:12" x14ac:dyDescent="0.3">
      <c r="A54" s="2" t="s">
        <v>116</v>
      </c>
      <c r="B54" s="3" t="s">
        <v>117</v>
      </c>
      <c r="C54" s="3" t="s">
        <v>17</v>
      </c>
      <c r="D54" s="4">
        <v>72</v>
      </c>
      <c r="E54" s="4">
        <v>61</v>
      </c>
      <c r="F54" s="4">
        <v>71</v>
      </c>
      <c r="G54" s="4">
        <v>57</v>
      </c>
      <c r="H54" s="4">
        <v>90</v>
      </c>
      <c r="I54" s="4">
        <f t="shared" si="3"/>
        <v>351</v>
      </c>
      <c r="J54" s="4">
        <v>500</v>
      </c>
      <c r="K54" s="5">
        <f t="shared" si="4"/>
        <v>0.70199999999999996</v>
      </c>
      <c r="L54" s="5">
        <f t="shared" si="5"/>
        <v>0.29800000000000004</v>
      </c>
    </row>
    <row r="55" spans="1:12" x14ac:dyDescent="0.3">
      <c r="A55" s="2" t="s">
        <v>118</v>
      </c>
      <c r="B55" s="3" t="s">
        <v>119</v>
      </c>
      <c r="C55" s="3" t="s">
        <v>22</v>
      </c>
      <c r="D55" s="4">
        <v>42</v>
      </c>
      <c r="E55" s="4">
        <v>92</v>
      </c>
      <c r="F55" s="4">
        <v>58</v>
      </c>
      <c r="G55" s="4">
        <v>71</v>
      </c>
      <c r="H55" s="4">
        <v>90</v>
      </c>
      <c r="I55" s="4">
        <f t="shared" si="3"/>
        <v>353</v>
      </c>
      <c r="J55" s="4">
        <v>500</v>
      </c>
      <c r="K55" s="5">
        <f t="shared" si="4"/>
        <v>0.70599999999999996</v>
      </c>
      <c r="L55" s="5">
        <f t="shared" si="5"/>
        <v>0.29400000000000004</v>
      </c>
    </row>
    <row r="56" spans="1:12" x14ac:dyDescent="0.3">
      <c r="A56" s="2" t="s">
        <v>120</v>
      </c>
      <c r="B56" s="3" t="s">
        <v>121</v>
      </c>
      <c r="C56" s="3" t="s">
        <v>35</v>
      </c>
      <c r="D56" s="4">
        <v>75</v>
      </c>
      <c r="E56" s="4">
        <v>94</v>
      </c>
      <c r="F56" s="4">
        <v>61</v>
      </c>
      <c r="G56" s="4">
        <v>79</v>
      </c>
      <c r="H56" s="4">
        <v>76</v>
      </c>
      <c r="I56" s="4">
        <f t="shared" si="3"/>
        <v>385</v>
      </c>
      <c r="J56" s="4">
        <v>500</v>
      </c>
      <c r="K56" s="5">
        <f t="shared" si="4"/>
        <v>0.77</v>
      </c>
      <c r="L56" s="5">
        <f t="shared" si="5"/>
        <v>0.22999999999999998</v>
      </c>
    </row>
    <row r="57" spans="1:12" x14ac:dyDescent="0.3">
      <c r="A57" s="2" t="s">
        <v>122</v>
      </c>
      <c r="B57" s="3" t="s">
        <v>123</v>
      </c>
      <c r="C57" s="3" t="s">
        <v>35</v>
      </c>
      <c r="D57" s="4">
        <v>80</v>
      </c>
      <c r="E57" s="4">
        <v>29</v>
      </c>
      <c r="F57" s="4">
        <v>78</v>
      </c>
      <c r="G57" s="4">
        <v>73</v>
      </c>
      <c r="H57" s="4">
        <v>93</v>
      </c>
      <c r="I57" s="4">
        <f t="shared" si="3"/>
        <v>353</v>
      </c>
      <c r="J57" s="4">
        <v>500</v>
      </c>
      <c r="K57" s="5">
        <f t="shared" si="4"/>
        <v>0.70599999999999996</v>
      </c>
      <c r="L57" s="5">
        <f t="shared" si="5"/>
        <v>0.29400000000000004</v>
      </c>
    </row>
    <row r="58" spans="1:12" x14ac:dyDescent="0.3">
      <c r="A58" s="2" t="s">
        <v>124</v>
      </c>
      <c r="B58" s="3" t="s">
        <v>125</v>
      </c>
      <c r="C58" s="3" t="s">
        <v>22</v>
      </c>
      <c r="D58" s="4">
        <v>71</v>
      </c>
      <c r="E58" s="4">
        <v>51</v>
      </c>
      <c r="F58" s="4">
        <v>38</v>
      </c>
      <c r="G58" s="4">
        <v>20</v>
      </c>
      <c r="H58" s="4">
        <v>33</v>
      </c>
      <c r="I58" s="4">
        <f t="shared" si="3"/>
        <v>213</v>
      </c>
      <c r="J58" s="4">
        <v>500</v>
      </c>
      <c r="K58" s="5">
        <f t="shared" si="4"/>
        <v>0.42599999999999999</v>
      </c>
      <c r="L58" s="5">
        <f t="shared" si="5"/>
        <v>0.57400000000000007</v>
      </c>
    </row>
    <row r="59" spans="1:12" x14ac:dyDescent="0.3">
      <c r="A59" s="2" t="s">
        <v>126</v>
      </c>
      <c r="B59" s="3" t="s">
        <v>127</v>
      </c>
      <c r="C59" s="3" t="s">
        <v>14</v>
      </c>
      <c r="D59" s="4">
        <v>79</v>
      </c>
      <c r="E59" s="4">
        <v>26</v>
      </c>
      <c r="F59" s="4">
        <v>91</v>
      </c>
      <c r="G59" s="4">
        <v>51</v>
      </c>
      <c r="H59" s="4">
        <v>35</v>
      </c>
      <c r="I59" s="4">
        <f t="shared" si="3"/>
        <v>282</v>
      </c>
      <c r="J59" s="4">
        <v>500</v>
      </c>
      <c r="K59" s="5">
        <f t="shared" si="4"/>
        <v>0.56399999999999995</v>
      </c>
      <c r="L59" s="5">
        <f t="shared" si="5"/>
        <v>0.43600000000000005</v>
      </c>
    </row>
    <row r="60" spans="1:12" x14ac:dyDescent="0.3">
      <c r="A60" s="2" t="s">
        <v>128</v>
      </c>
      <c r="B60" s="3" t="s">
        <v>129</v>
      </c>
      <c r="C60" s="3" t="s">
        <v>14</v>
      </c>
      <c r="D60" s="4">
        <v>91</v>
      </c>
      <c r="E60" s="4">
        <v>60</v>
      </c>
      <c r="F60" s="4">
        <v>76</v>
      </c>
      <c r="G60" s="4">
        <v>84</v>
      </c>
      <c r="H60" s="4">
        <v>74</v>
      </c>
      <c r="I60" s="4">
        <f t="shared" si="3"/>
        <v>385</v>
      </c>
      <c r="J60" s="4">
        <v>500</v>
      </c>
      <c r="K60" s="5">
        <f t="shared" si="4"/>
        <v>0.77</v>
      </c>
      <c r="L60" s="5">
        <f t="shared" si="5"/>
        <v>0.22999999999999998</v>
      </c>
    </row>
    <row r="61" spans="1:12" x14ac:dyDescent="0.3">
      <c r="A61" s="2" t="s">
        <v>130</v>
      </c>
      <c r="B61" s="3" t="s">
        <v>131</v>
      </c>
      <c r="C61" s="3" t="s">
        <v>22</v>
      </c>
      <c r="D61" s="4">
        <v>77</v>
      </c>
      <c r="E61" s="4">
        <v>53</v>
      </c>
      <c r="F61" s="4">
        <v>51</v>
      </c>
      <c r="G61" s="4">
        <v>55</v>
      </c>
      <c r="H61" s="4">
        <v>86</v>
      </c>
      <c r="I61" s="4">
        <f t="shared" si="3"/>
        <v>322</v>
      </c>
      <c r="J61" s="4">
        <v>500</v>
      </c>
      <c r="K61" s="5">
        <f t="shared" si="4"/>
        <v>0.64400000000000002</v>
      </c>
      <c r="L61" s="5">
        <f t="shared" si="5"/>
        <v>0.35599999999999998</v>
      </c>
    </row>
    <row r="62" spans="1:12" x14ac:dyDescent="0.3">
      <c r="A62" s="2" t="s">
        <v>132</v>
      </c>
      <c r="B62" s="3" t="s">
        <v>133</v>
      </c>
      <c r="C62" s="3" t="s">
        <v>17</v>
      </c>
      <c r="D62" s="4">
        <v>76</v>
      </c>
      <c r="E62" s="4">
        <v>29</v>
      </c>
      <c r="F62" s="4">
        <v>56</v>
      </c>
      <c r="G62" s="4">
        <v>50</v>
      </c>
      <c r="H62" s="4">
        <v>54</v>
      </c>
      <c r="I62" s="4">
        <f t="shared" si="3"/>
        <v>265</v>
      </c>
      <c r="J62" s="4">
        <v>500</v>
      </c>
      <c r="K62" s="5">
        <f t="shared" si="4"/>
        <v>0.53</v>
      </c>
      <c r="L62" s="5">
        <f t="shared" si="5"/>
        <v>0.47</v>
      </c>
    </row>
    <row r="63" spans="1:12" x14ac:dyDescent="0.3">
      <c r="A63" s="2" t="s">
        <v>134</v>
      </c>
      <c r="B63" s="3" t="s">
        <v>135</v>
      </c>
      <c r="C63" s="3" t="s">
        <v>9</v>
      </c>
      <c r="D63" s="4">
        <v>37</v>
      </c>
      <c r="E63" s="4">
        <v>39</v>
      </c>
      <c r="F63" s="4">
        <v>49</v>
      </c>
      <c r="G63" s="4">
        <v>69</v>
      </c>
      <c r="H63" s="4">
        <v>39</v>
      </c>
      <c r="I63" s="4">
        <f t="shared" si="3"/>
        <v>233</v>
      </c>
      <c r="J63" s="4">
        <v>500</v>
      </c>
      <c r="K63" s="5">
        <f t="shared" si="4"/>
        <v>0.46600000000000003</v>
      </c>
      <c r="L63" s="5">
        <f t="shared" si="5"/>
        <v>0.53400000000000003</v>
      </c>
    </row>
    <row r="64" spans="1:12" x14ac:dyDescent="0.3">
      <c r="A64" s="2" t="s">
        <v>136</v>
      </c>
      <c r="B64" s="3" t="s">
        <v>137</v>
      </c>
      <c r="C64" s="3" t="s">
        <v>22</v>
      </c>
      <c r="D64" s="4">
        <v>72</v>
      </c>
      <c r="E64" s="4">
        <v>62</v>
      </c>
      <c r="F64" s="4">
        <v>89</v>
      </c>
      <c r="G64" s="4">
        <v>79</v>
      </c>
      <c r="H64" s="4">
        <v>73</v>
      </c>
      <c r="I64" s="4">
        <f t="shared" si="3"/>
        <v>375</v>
      </c>
      <c r="J64" s="4">
        <v>500</v>
      </c>
      <c r="K64" s="5">
        <f t="shared" si="4"/>
        <v>0.75</v>
      </c>
      <c r="L64" s="5">
        <f t="shared" si="5"/>
        <v>0.25</v>
      </c>
    </row>
    <row r="65" spans="1:12" x14ac:dyDescent="0.3">
      <c r="A65" s="2" t="s">
        <v>138</v>
      </c>
      <c r="B65" s="3" t="s">
        <v>139</v>
      </c>
      <c r="C65" s="3" t="s">
        <v>22</v>
      </c>
      <c r="D65" s="4">
        <v>94</v>
      </c>
      <c r="E65" s="4">
        <v>22</v>
      </c>
      <c r="F65" s="4">
        <v>93</v>
      </c>
      <c r="G65" s="4">
        <v>68</v>
      </c>
      <c r="H65" s="4">
        <v>81</v>
      </c>
      <c r="I65" s="4">
        <f t="shared" si="3"/>
        <v>358</v>
      </c>
      <c r="J65" s="4">
        <v>500</v>
      </c>
      <c r="K65" s="5">
        <f t="shared" si="4"/>
        <v>0.71599999999999997</v>
      </c>
      <c r="L65" s="5">
        <f t="shared" si="5"/>
        <v>0.28400000000000003</v>
      </c>
    </row>
    <row r="66" spans="1:12" x14ac:dyDescent="0.3">
      <c r="A66" s="2" t="s">
        <v>140</v>
      </c>
      <c r="B66" s="3" t="s">
        <v>141</v>
      </c>
      <c r="C66" s="3" t="s">
        <v>22</v>
      </c>
      <c r="D66" s="4">
        <v>73</v>
      </c>
      <c r="E66" s="4">
        <v>88</v>
      </c>
      <c r="F66" s="4">
        <v>89</v>
      </c>
      <c r="G66" s="4">
        <v>48</v>
      </c>
      <c r="H66" s="4">
        <v>82</v>
      </c>
      <c r="I66" s="4">
        <f t="shared" ref="I66:I97" si="6">SUM(D66:H66)</f>
        <v>380</v>
      </c>
      <c r="J66" s="4">
        <v>500</v>
      </c>
      <c r="K66" s="5">
        <f t="shared" ref="K66:K97" si="7">I66/J66</f>
        <v>0.76</v>
      </c>
      <c r="L66" s="5">
        <f t="shared" ref="L66:L97" si="8">1-K66</f>
        <v>0.24</v>
      </c>
    </row>
    <row r="67" spans="1:12" x14ac:dyDescent="0.3">
      <c r="A67" s="2" t="s">
        <v>142</v>
      </c>
      <c r="B67" s="3" t="s">
        <v>143</v>
      </c>
      <c r="C67" s="3" t="s">
        <v>22</v>
      </c>
      <c r="D67" s="4">
        <v>23</v>
      </c>
      <c r="E67" s="4">
        <v>69</v>
      </c>
      <c r="F67" s="4">
        <v>63</v>
      </c>
      <c r="G67" s="4">
        <v>71</v>
      </c>
      <c r="H67" s="4">
        <v>41</v>
      </c>
      <c r="I67" s="4">
        <f t="shared" si="6"/>
        <v>267</v>
      </c>
      <c r="J67" s="4">
        <v>500</v>
      </c>
      <c r="K67" s="5">
        <f t="shared" si="7"/>
        <v>0.53400000000000003</v>
      </c>
      <c r="L67" s="5">
        <f t="shared" si="8"/>
        <v>0.46599999999999997</v>
      </c>
    </row>
    <row r="68" spans="1:12" x14ac:dyDescent="0.3">
      <c r="A68" s="2" t="s">
        <v>144</v>
      </c>
      <c r="B68" s="3" t="s">
        <v>145</v>
      </c>
      <c r="C68" s="3" t="s">
        <v>14</v>
      </c>
      <c r="D68" s="4">
        <v>23</v>
      </c>
      <c r="E68" s="4">
        <v>70</v>
      </c>
      <c r="F68" s="4">
        <v>95</v>
      </c>
      <c r="G68" s="4">
        <v>92</v>
      </c>
      <c r="H68" s="4">
        <v>23</v>
      </c>
      <c r="I68" s="4">
        <f t="shared" si="6"/>
        <v>303</v>
      </c>
      <c r="J68" s="4">
        <v>500</v>
      </c>
      <c r="K68" s="5">
        <f t="shared" si="7"/>
        <v>0.60599999999999998</v>
      </c>
      <c r="L68" s="5">
        <f t="shared" si="8"/>
        <v>0.39400000000000002</v>
      </c>
    </row>
    <row r="69" spans="1:12" x14ac:dyDescent="0.3">
      <c r="A69" s="2" t="s">
        <v>146</v>
      </c>
      <c r="B69" s="3" t="s">
        <v>147</v>
      </c>
      <c r="C69" s="3" t="s">
        <v>35</v>
      </c>
      <c r="D69" s="4">
        <v>79</v>
      </c>
      <c r="E69" s="4">
        <v>43</v>
      </c>
      <c r="F69" s="4">
        <v>26</v>
      </c>
      <c r="G69" s="4">
        <v>53</v>
      </c>
      <c r="H69" s="4">
        <v>68</v>
      </c>
      <c r="I69" s="4">
        <f t="shared" si="6"/>
        <v>269</v>
      </c>
      <c r="J69" s="4">
        <v>500</v>
      </c>
      <c r="K69" s="5">
        <f t="shared" si="7"/>
        <v>0.53800000000000003</v>
      </c>
      <c r="L69" s="5">
        <f t="shared" si="8"/>
        <v>0.46199999999999997</v>
      </c>
    </row>
    <row r="70" spans="1:12" x14ac:dyDescent="0.3">
      <c r="A70" s="2" t="s">
        <v>148</v>
      </c>
      <c r="B70" s="3" t="s">
        <v>149</v>
      </c>
      <c r="C70" s="3" t="s">
        <v>17</v>
      </c>
      <c r="D70" s="4">
        <v>63</v>
      </c>
      <c r="E70" s="4">
        <v>68</v>
      </c>
      <c r="F70" s="4">
        <v>55</v>
      </c>
      <c r="G70" s="4">
        <v>73</v>
      </c>
      <c r="H70" s="4">
        <v>52</v>
      </c>
      <c r="I70" s="4">
        <f t="shared" si="6"/>
        <v>311</v>
      </c>
      <c r="J70" s="4">
        <v>500</v>
      </c>
      <c r="K70" s="5">
        <f t="shared" si="7"/>
        <v>0.622</v>
      </c>
      <c r="L70" s="5">
        <f t="shared" si="8"/>
        <v>0.378</v>
      </c>
    </row>
    <row r="71" spans="1:12" x14ac:dyDescent="0.3">
      <c r="A71" s="2" t="s">
        <v>150</v>
      </c>
      <c r="B71" s="3" t="s">
        <v>151</v>
      </c>
      <c r="C71" s="3" t="s">
        <v>14</v>
      </c>
      <c r="D71" s="4">
        <v>26</v>
      </c>
      <c r="E71" s="4">
        <v>64</v>
      </c>
      <c r="F71" s="4">
        <v>48</v>
      </c>
      <c r="G71" s="4">
        <v>28</v>
      </c>
      <c r="H71" s="4">
        <v>25</v>
      </c>
      <c r="I71" s="4">
        <f t="shared" si="6"/>
        <v>191</v>
      </c>
      <c r="J71" s="4">
        <v>500</v>
      </c>
      <c r="K71" s="5">
        <f t="shared" si="7"/>
        <v>0.38200000000000001</v>
      </c>
      <c r="L71" s="5">
        <f t="shared" si="8"/>
        <v>0.61799999999999999</v>
      </c>
    </row>
    <row r="72" spans="1:12" x14ac:dyDescent="0.3">
      <c r="A72" s="2" t="s">
        <v>152</v>
      </c>
      <c r="B72" s="3" t="s">
        <v>153</v>
      </c>
      <c r="C72" s="3" t="s">
        <v>9</v>
      </c>
      <c r="D72" s="4">
        <v>39</v>
      </c>
      <c r="E72" s="4">
        <v>50</v>
      </c>
      <c r="F72" s="4">
        <v>36</v>
      </c>
      <c r="G72" s="4">
        <v>80</v>
      </c>
      <c r="H72" s="4">
        <v>34</v>
      </c>
      <c r="I72" s="4">
        <f t="shared" si="6"/>
        <v>239</v>
      </c>
      <c r="J72" s="4">
        <v>500</v>
      </c>
      <c r="K72" s="5">
        <f t="shared" si="7"/>
        <v>0.47799999999999998</v>
      </c>
      <c r="L72" s="5">
        <f t="shared" si="8"/>
        <v>0.52200000000000002</v>
      </c>
    </row>
    <row r="73" spans="1:12" x14ac:dyDescent="0.3">
      <c r="A73" s="2" t="s">
        <v>154</v>
      </c>
      <c r="B73" s="3" t="s">
        <v>155</v>
      </c>
      <c r="C73" s="3" t="s">
        <v>17</v>
      </c>
      <c r="D73" s="4">
        <v>93</v>
      </c>
      <c r="E73" s="4">
        <v>68</v>
      </c>
      <c r="F73" s="4">
        <v>70</v>
      </c>
      <c r="G73" s="4">
        <v>45</v>
      </c>
      <c r="H73" s="4">
        <v>29</v>
      </c>
      <c r="I73" s="4">
        <f t="shared" si="6"/>
        <v>305</v>
      </c>
      <c r="J73" s="4">
        <v>500</v>
      </c>
      <c r="K73" s="5">
        <f t="shared" si="7"/>
        <v>0.61</v>
      </c>
      <c r="L73" s="5">
        <f t="shared" si="8"/>
        <v>0.39</v>
      </c>
    </row>
    <row r="74" spans="1:12" x14ac:dyDescent="0.3">
      <c r="A74" s="2" t="s">
        <v>156</v>
      </c>
      <c r="B74" s="3" t="s">
        <v>157</v>
      </c>
      <c r="C74" s="3" t="s">
        <v>9</v>
      </c>
      <c r="D74" s="4">
        <v>58</v>
      </c>
      <c r="E74" s="4">
        <v>35</v>
      </c>
      <c r="F74" s="4">
        <v>92</v>
      </c>
      <c r="G74" s="4">
        <v>25</v>
      </c>
      <c r="H74" s="4">
        <v>64</v>
      </c>
      <c r="I74" s="4">
        <f t="shared" si="6"/>
        <v>274</v>
      </c>
      <c r="J74" s="4">
        <v>500</v>
      </c>
      <c r="K74" s="5">
        <f t="shared" si="7"/>
        <v>0.54800000000000004</v>
      </c>
      <c r="L74" s="5">
        <f t="shared" si="8"/>
        <v>0.45199999999999996</v>
      </c>
    </row>
    <row r="75" spans="1:12" x14ac:dyDescent="0.3">
      <c r="A75" s="2" t="s">
        <v>158</v>
      </c>
      <c r="B75" s="3" t="s">
        <v>159</v>
      </c>
      <c r="C75" s="3" t="s">
        <v>9</v>
      </c>
      <c r="D75" s="4">
        <v>84</v>
      </c>
      <c r="E75" s="4">
        <v>63</v>
      </c>
      <c r="F75" s="4">
        <v>21</v>
      </c>
      <c r="G75" s="4">
        <v>73</v>
      </c>
      <c r="H75" s="4">
        <v>82</v>
      </c>
      <c r="I75" s="4">
        <f t="shared" si="6"/>
        <v>323</v>
      </c>
      <c r="J75" s="4">
        <v>500</v>
      </c>
      <c r="K75" s="5">
        <f t="shared" si="7"/>
        <v>0.64600000000000002</v>
      </c>
      <c r="L75" s="5">
        <f t="shared" si="8"/>
        <v>0.35399999999999998</v>
      </c>
    </row>
    <row r="76" spans="1:12" x14ac:dyDescent="0.3">
      <c r="A76" s="2" t="s">
        <v>160</v>
      </c>
      <c r="B76" s="3" t="s">
        <v>161</v>
      </c>
      <c r="C76" s="3" t="s">
        <v>22</v>
      </c>
      <c r="D76" s="4">
        <v>75</v>
      </c>
      <c r="E76" s="4">
        <v>95</v>
      </c>
      <c r="F76" s="4">
        <v>54</v>
      </c>
      <c r="G76" s="4">
        <v>61</v>
      </c>
      <c r="H76" s="4">
        <v>51</v>
      </c>
      <c r="I76" s="4">
        <f t="shared" si="6"/>
        <v>336</v>
      </c>
      <c r="J76" s="4">
        <v>500</v>
      </c>
      <c r="K76" s="5">
        <f t="shared" si="7"/>
        <v>0.67200000000000004</v>
      </c>
      <c r="L76" s="5">
        <f t="shared" si="8"/>
        <v>0.32799999999999996</v>
      </c>
    </row>
    <row r="77" spans="1:12" x14ac:dyDescent="0.3">
      <c r="A77" s="2" t="s">
        <v>162</v>
      </c>
      <c r="B77" s="3" t="s">
        <v>163</v>
      </c>
      <c r="C77" s="3" t="s">
        <v>35</v>
      </c>
      <c r="D77" s="4">
        <v>79</v>
      </c>
      <c r="E77" s="4">
        <v>92</v>
      </c>
      <c r="F77" s="4">
        <v>68</v>
      </c>
      <c r="G77" s="4">
        <v>63</v>
      </c>
      <c r="H77" s="4">
        <v>23</v>
      </c>
      <c r="I77" s="4">
        <f t="shared" si="6"/>
        <v>325</v>
      </c>
      <c r="J77" s="4">
        <v>500</v>
      </c>
      <c r="K77" s="5">
        <f t="shared" si="7"/>
        <v>0.65</v>
      </c>
      <c r="L77" s="5">
        <f t="shared" si="8"/>
        <v>0.35</v>
      </c>
    </row>
    <row r="78" spans="1:12" x14ac:dyDescent="0.3">
      <c r="A78" s="2" t="s">
        <v>164</v>
      </c>
      <c r="B78" s="3" t="s">
        <v>165</v>
      </c>
      <c r="C78" s="3" t="s">
        <v>22</v>
      </c>
      <c r="D78" s="4">
        <v>47</v>
      </c>
      <c r="E78" s="4">
        <v>65</v>
      </c>
      <c r="F78" s="4">
        <v>53</v>
      </c>
      <c r="G78" s="4">
        <v>63</v>
      </c>
      <c r="H78" s="4">
        <v>55</v>
      </c>
      <c r="I78" s="4">
        <f t="shared" si="6"/>
        <v>283</v>
      </c>
      <c r="J78" s="4">
        <v>500</v>
      </c>
      <c r="K78" s="5">
        <f t="shared" si="7"/>
        <v>0.56599999999999995</v>
      </c>
      <c r="L78" s="5">
        <f t="shared" si="8"/>
        <v>0.43400000000000005</v>
      </c>
    </row>
    <row r="79" spans="1:12" x14ac:dyDescent="0.3">
      <c r="A79" s="2" t="s">
        <v>166</v>
      </c>
      <c r="B79" s="3" t="s">
        <v>167</v>
      </c>
      <c r="C79" s="3" t="s">
        <v>14</v>
      </c>
      <c r="D79" s="4">
        <v>21</v>
      </c>
      <c r="E79" s="4">
        <v>86</v>
      </c>
      <c r="F79" s="4">
        <v>44</v>
      </c>
      <c r="G79" s="4">
        <v>30</v>
      </c>
      <c r="H79" s="4">
        <v>50</v>
      </c>
      <c r="I79" s="4">
        <f t="shared" si="6"/>
        <v>231</v>
      </c>
      <c r="J79" s="4">
        <v>500</v>
      </c>
      <c r="K79" s="5">
        <f t="shared" si="7"/>
        <v>0.46200000000000002</v>
      </c>
      <c r="L79" s="5">
        <f t="shared" si="8"/>
        <v>0.53800000000000003</v>
      </c>
    </row>
    <row r="80" spans="1:12" x14ac:dyDescent="0.3">
      <c r="A80" s="2" t="s">
        <v>168</v>
      </c>
      <c r="B80" s="3" t="s">
        <v>169</v>
      </c>
      <c r="C80" s="3" t="s">
        <v>14</v>
      </c>
      <c r="D80" s="4">
        <v>50</v>
      </c>
      <c r="E80" s="4">
        <v>80</v>
      </c>
      <c r="F80" s="4">
        <v>82</v>
      </c>
      <c r="G80" s="4">
        <v>77</v>
      </c>
      <c r="H80" s="4">
        <v>22</v>
      </c>
      <c r="I80" s="4">
        <f t="shared" si="6"/>
        <v>311</v>
      </c>
      <c r="J80" s="4">
        <v>500</v>
      </c>
      <c r="K80" s="5">
        <f t="shared" si="7"/>
        <v>0.622</v>
      </c>
      <c r="L80" s="5">
        <f t="shared" si="8"/>
        <v>0.378</v>
      </c>
    </row>
    <row r="81" spans="1:12" x14ac:dyDescent="0.3">
      <c r="A81" s="2" t="s">
        <v>170</v>
      </c>
      <c r="B81" s="3" t="s">
        <v>171</v>
      </c>
      <c r="C81" s="3" t="s">
        <v>22</v>
      </c>
      <c r="D81" s="4">
        <v>51</v>
      </c>
      <c r="E81" s="4">
        <v>59</v>
      </c>
      <c r="F81" s="4">
        <v>94</v>
      </c>
      <c r="G81" s="4">
        <v>67</v>
      </c>
      <c r="H81" s="4">
        <v>80</v>
      </c>
      <c r="I81" s="4">
        <f t="shared" si="6"/>
        <v>351</v>
      </c>
      <c r="J81" s="4">
        <v>500</v>
      </c>
      <c r="K81" s="5">
        <f t="shared" si="7"/>
        <v>0.70199999999999996</v>
      </c>
      <c r="L81" s="5">
        <f t="shared" si="8"/>
        <v>0.29800000000000004</v>
      </c>
    </row>
    <row r="82" spans="1:12" x14ac:dyDescent="0.3">
      <c r="A82" s="2" t="s">
        <v>172</v>
      </c>
      <c r="B82" s="3" t="s">
        <v>173</v>
      </c>
      <c r="C82" s="3" t="s">
        <v>22</v>
      </c>
      <c r="D82" s="4">
        <v>90</v>
      </c>
      <c r="E82" s="4">
        <v>62</v>
      </c>
      <c r="F82" s="4">
        <v>65</v>
      </c>
      <c r="G82" s="4">
        <v>78</v>
      </c>
      <c r="H82" s="4">
        <v>54</v>
      </c>
      <c r="I82" s="4">
        <f t="shared" si="6"/>
        <v>349</v>
      </c>
      <c r="J82" s="4">
        <v>500</v>
      </c>
      <c r="K82" s="5">
        <f t="shared" si="7"/>
        <v>0.69799999999999995</v>
      </c>
      <c r="L82" s="5">
        <f t="shared" si="8"/>
        <v>0.30200000000000005</v>
      </c>
    </row>
    <row r="83" spans="1:12" x14ac:dyDescent="0.3">
      <c r="A83" s="2" t="s">
        <v>174</v>
      </c>
      <c r="B83" s="3" t="s">
        <v>175</v>
      </c>
      <c r="C83" s="3" t="s">
        <v>9</v>
      </c>
      <c r="D83" s="4">
        <v>44</v>
      </c>
      <c r="E83" s="4">
        <v>60</v>
      </c>
      <c r="F83" s="4">
        <v>35</v>
      </c>
      <c r="G83" s="4">
        <v>88</v>
      </c>
      <c r="H83" s="4">
        <v>43</v>
      </c>
      <c r="I83" s="4">
        <f t="shared" si="6"/>
        <v>270</v>
      </c>
      <c r="J83" s="4">
        <v>500</v>
      </c>
      <c r="K83" s="5">
        <f t="shared" si="7"/>
        <v>0.54</v>
      </c>
      <c r="L83" s="5">
        <f t="shared" si="8"/>
        <v>0.45999999999999996</v>
      </c>
    </row>
    <row r="84" spans="1:12" x14ac:dyDescent="0.3">
      <c r="A84" s="2" t="s">
        <v>176</v>
      </c>
      <c r="B84" s="3" t="s">
        <v>177</v>
      </c>
      <c r="C84" s="3" t="s">
        <v>17</v>
      </c>
      <c r="D84" s="4">
        <v>95</v>
      </c>
      <c r="E84" s="4">
        <v>87</v>
      </c>
      <c r="F84" s="4">
        <v>56</v>
      </c>
      <c r="G84" s="4">
        <v>32</v>
      </c>
      <c r="H84" s="4">
        <v>44</v>
      </c>
      <c r="I84" s="4">
        <f t="shared" si="6"/>
        <v>314</v>
      </c>
      <c r="J84" s="4">
        <v>500</v>
      </c>
      <c r="K84" s="5">
        <f t="shared" si="7"/>
        <v>0.628</v>
      </c>
      <c r="L84" s="5">
        <f t="shared" si="8"/>
        <v>0.372</v>
      </c>
    </row>
    <row r="85" spans="1:12" x14ac:dyDescent="0.3">
      <c r="A85" s="2" t="s">
        <v>178</v>
      </c>
      <c r="B85" s="3" t="s">
        <v>179</v>
      </c>
      <c r="C85" s="3" t="s">
        <v>35</v>
      </c>
      <c r="D85" s="4">
        <v>58</v>
      </c>
      <c r="E85" s="4">
        <v>21</v>
      </c>
      <c r="F85" s="4">
        <v>88</v>
      </c>
      <c r="G85" s="4">
        <v>36</v>
      </c>
      <c r="H85" s="4">
        <v>55</v>
      </c>
      <c r="I85" s="4">
        <f t="shared" si="6"/>
        <v>258</v>
      </c>
      <c r="J85" s="4">
        <v>500</v>
      </c>
      <c r="K85" s="5">
        <f t="shared" si="7"/>
        <v>0.51600000000000001</v>
      </c>
      <c r="L85" s="5">
        <f t="shared" si="8"/>
        <v>0.48399999999999999</v>
      </c>
    </row>
    <row r="86" spans="1:12" x14ac:dyDescent="0.3">
      <c r="A86" s="2" t="s">
        <v>180</v>
      </c>
      <c r="B86" s="3" t="s">
        <v>181</v>
      </c>
      <c r="C86" s="3" t="s">
        <v>17</v>
      </c>
      <c r="D86" s="4">
        <v>36</v>
      </c>
      <c r="E86" s="4">
        <v>82</v>
      </c>
      <c r="F86" s="4">
        <v>33</v>
      </c>
      <c r="G86" s="4">
        <v>21</v>
      </c>
      <c r="H86" s="4">
        <v>93</v>
      </c>
      <c r="I86" s="4">
        <f t="shared" si="6"/>
        <v>265</v>
      </c>
      <c r="J86" s="4">
        <v>500</v>
      </c>
      <c r="K86" s="5">
        <f t="shared" si="7"/>
        <v>0.53</v>
      </c>
      <c r="L86" s="5">
        <f t="shared" si="8"/>
        <v>0.47</v>
      </c>
    </row>
    <row r="87" spans="1:12" x14ac:dyDescent="0.3">
      <c r="A87" s="2" t="s">
        <v>182</v>
      </c>
      <c r="B87" s="3" t="s">
        <v>183</v>
      </c>
      <c r="C87" s="3" t="s">
        <v>22</v>
      </c>
      <c r="D87" s="4">
        <v>63</v>
      </c>
      <c r="E87" s="4">
        <v>43</v>
      </c>
      <c r="F87" s="4">
        <v>26</v>
      </c>
      <c r="G87" s="4">
        <v>52</v>
      </c>
      <c r="H87" s="4">
        <v>81</v>
      </c>
      <c r="I87" s="4">
        <f t="shared" si="6"/>
        <v>265</v>
      </c>
      <c r="J87" s="4">
        <v>500</v>
      </c>
      <c r="K87" s="5">
        <f t="shared" si="7"/>
        <v>0.53</v>
      </c>
      <c r="L87" s="5">
        <f t="shared" si="8"/>
        <v>0.47</v>
      </c>
    </row>
    <row r="88" spans="1:12" x14ac:dyDescent="0.3">
      <c r="A88" s="2" t="s">
        <v>184</v>
      </c>
      <c r="B88" s="3" t="s">
        <v>185</v>
      </c>
      <c r="C88" s="3" t="s">
        <v>22</v>
      </c>
      <c r="D88" s="4">
        <v>29</v>
      </c>
      <c r="E88" s="4">
        <v>93</v>
      </c>
      <c r="F88" s="4">
        <v>26</v>
      </c>
      <c r="G88" s="4">
        <v>39</v>
      </c>
      <c r="H88" s="4">
        <v>39</v>
      </c>
      <c r="I88" s="4">
        <f t="shared" si="6"/>
        <v>226</v>
      </c>
      <c r="J88" s="4">
        <v>500</v>
      </c>
      <c r="K88" s="5">
        <f t="shared" si="7"/>
        <v>0.45200000000000001</v>
      </c>
      <c r="L88" s="5">
        <f t="shared" si="8"/>
        <v>0.54800000000000004</v>
      </c>
    </row>
    <row r="89" spans="1:12" x14ac:dyDescent="0.3">
      <c r="A89" s="2" t="s">
        <v>186</v>
      </c>
      <c r="B89" s="3" t="s">
        <v>187</v>
      </c>
      <c r="C89" s="3" t="s">
        <v>35</v>
      </c>
      <c r="D89" s="4">
        <v>35</v>
      </c>
      <c r="E89" s="4">
        <v>91</v>
      </c>
      <c r="F89" s="4">
        <v>73</v>
      </c>
      <c r="G89" s="4">
        <v>48</v>
      </c>
      <c r="H89" s="4">
        <v>86</v>
      </c>
      <c r="I89" s="4">
        <f t="shared" si="6"/>
        <v>333</v>
      </c>
      <c r="J89" s="4">
        <v>500</v>
      </c>
      <c r="K89" s="5">
        <f t="shared" si="7"/>
        <v>0.66600000000000004</v>
      </c>
      <c r="L89" s="5">
        <f t="shared" si="8"/>
        <v>0.33399999999999996</v>
      </c>
    </row>
    <row r="90" spans="1:12" x14ac:dyDescent="0.3">
      <c r="A90" s="2" t="s">
        <v>188</v>
      </c>
      <c r="B90" s="3" t="s">
        <v>189</v>
      </c>
      <c r="C90" s="3" t="s">
        <v>17</v>
      </c>
      <c r="D90" s="4">
        <v>95</v>
      </c>
      <c r="E90" s="4">
        <v>74</v>
      </c>
      <c r="F90" s="4">
        <v>59</v>
      </c>
      <c r="G90" s="4">
        <v>92</v>
      </c>
      <c r="H90" s="4">
        <v>27</v>
      </c>
      <c r="I90" s="4">
        <f t="shared" si="6"/>
        <v>347</v>
      </c>
      <c r="J90" s="4">
        <v>500</v>
      </c>
      <c r="K90" s="5">
        <f t="shared" si="7"/>
        <v>0.69399999999999995</v>
      </c>
      <c r="L90" s="5">
        <f t="shared" si="8"/>
        <v>0.30600000000000005</v>
      </c>
    </row>
    <row r="91" spans="1:12" x14ac:dyDescent="0.3">
      <c r="A91" s="2" t="s">
        <v>190</v>
      </c>
      <c r="B91" s="3" t="s">
        <v>191</v>
      </c>
      <c r="C91" s="3" t="s">
        <v>35</v>
      </c>
      <c r="D91" s="4">
        <v>47</v>
      </c>
      <c r="E91" s="4">
        <v>53</v>
      </c>
      <c r="F91" s="4">
        <v>30</v>
      </c>
      <c r="G91" s="4">
        <v>40</v>
      </c>
      <c r="H91" s="4">
        <v>50</v>
      </c>
      <c r="I91" s="4">
        <f t="shared" si="6"/>
        <v>220</v>
      </c>
      <c r="J91" s="4">
        <v>500</v>
      </c>
      <c r="K91" s="5">
        <f t="shared" si="7"/>
        <v>0.44</v>
      </c>
      <c r="L91" s="5">
        <f t="shared" si="8"/>
        <v>0.56000000000000005</v>
      </c>
    </row>
    <row r="92" spans="1:12" x14ac:dyDescent="0.3">
      <c r="A92" s="2" t="s">
        <v>192</v>
      </c>
      <c r="B92" s="3" t="s">
        <v>193</v>
      </c>
      <c r="C92" s="3" t="s">
        <v>35</v>
      </c>
      <c r="D92" s="4">
        <v>20</v>
      </c>
      <c r="E92" s="4">
        <v>72</v>
      </c>
      <c r="F92" s="4">
        <v>77</v>
      </c>
      <c r="G92" s="4">
        <v>80</v>
      </c>
      <c r="H92" s="4">
        <v>57</v>
      </c>
      <c r="I92" s="4">
        <f t="shared" si="6"/>
        <v>306</v>
      </c>
      <c r="J92" s="4">
        <v>500</v>
      </c>
      <c r="K92" s="5">
        <f t="shared" si="7"/>
        <v>0.61199999999999999</v>
      </c>
      <c r="L92" s="5">
        <f t="shared" si="8"/>
        <v>0.38800000000000001</v>
      </c>
    </row>
    <row r="93" spans="1:12" x14ac:dyDescent="0.3">
      <c r="A93" s="2" t="s">
        <v>194</v>
      </c>
      <c r="B93" s="3" t="s">
        <v>195</v>
      </c>
      <c r="C93" s="3" t="s">
        <v>17</v>
      </c>
      <c r="D93" s="4">
        <v>78</v>
      </c>
      <c r="E93" s="4">
        <v>29</v>
      </c>
      <c r="F93" s="4">
        <v>49</v>
      </c>
      <c r="G93" s="4">
        <v>53</v>
      </c>
      <c r="H93" s="4">
        <v>95</v>
      </c>
      <c r="I93" s="4">
        <f t="shared" si="6"/>
        <v>304</v>
      </c>
      <c r="J93" s="4">
        <v>500</v>
      </c>
      <c r="K93" s="5">
        <f t="shared" si="7"/>
        <v>0.60799999999999998</v>
      </c>
      <c r="L93" s="5">
        <f t="shared" si="8"/>
        <v>0.39200000000000002</v>
      </c>
    </row>
    <row r="94" spans="1:12" x14ac:dyDescent="0.3">
      <c r="A94" s="2" t="s">
        <v>196</v>
      </c>
      <c r="B94" s="3" t="s">
        <v>197</v>
      </c>
      <c r="C94" s="3" t="s">
        <v>17</v>
      </c>
      <c r="D94" s="4">
        <v>92</v>
      </c>
      <c r="E94" s="4">
        <v>56</v>
      </c>
      <c r="F94" s="4">
        <v>76</v>
      </c>
      <c r="G94" s="4">
        <v>35</v>
      </c>
      <c r="H94" s="4">
        <v>79</v>
      </c>
      <c r="I94" s="4">
        <f t="shared" si="6"/>
        <v>338</v>
      </c>
      <c r="J94" s="4">
        <v>500</v>
      </c>
      <c r="K94" s="5">
        <f t="shared" si="7"/>
        <v>0.67600000000000005</v>
      </c>
      <c r="L94" s="5">
        <f t="shared" si="8"/>
        <v>0.32399999999999995</v>
      </c>
    </row>
    <row r="95" spans="1:12" x14ac:dyDescent="0.3">
      <c r="A95" s="2" t="s">
        <v>198</v>
      </c>
      <c r="B95" s="3" t="s">
        <v>199</v>
      </c>
      <c r="C95" s="3" t="s">
        <v>17</v>
      </c>
      <c r="D95" s="4">
        <v>84</v>
      </c>
      <c r="E95" s="4">
        <v>89</v>
      </c>
      <c r="F95" s="4">
        <v>83</v>
      </c>
      <c r="G95" s="4">
        <v>76</v>
      </c>
      <c r="H95" s="4">
        <v>30</v>
      </c>
      <c r="I95" s="4">
        <f t="shared" si="6"/>
        <v>362</v>
      </c>
      <c r="J95" s="4">
        <v>500</v>
      </c>
      <c r="K95" s="5">
        <f t="shared" si="7"/>
        <v>0.72399999999999998</v>
      </c>
      <c r="L95" s="5">
        <f t="shared" si="8"/>
        <v>0.27600000000000002</v>
      </c>
    </row>
    <row r="96" spans="1:12" x14ac:dyDescent="0.3">
      <c r="A96" s="2" t="s">
        <v>200</v>
      </c>
      <c r="B96" s="3" t="s">
        <v>201</v>
      </c>
      <c r="C96" s="3" t="s">
        <v>17</v>
      </c>
      <c r="D96" s="4">
        <v>52</v>
      </c>
      <c r="E96" s="4">
        <v>23</v>
      </c>
      <c r="F96" s="4">
        <v>31</v>
      </c>
      <c r="G96" s="4">
        <v>49</v>
      </c>
      <c r="H96" s="4">
        <v>93</v>
      </c>
      <c r="I96" s="4">
        <f t="shared" si="6"/>
        <v>248</v>
      </c>
      <c r="J96" s="4">
        <v>500</v>
      </c>
      <c r="K96" s="5">
        <f t="shared" si="7"/>
        <v>0.496</v>
      </c>
      <c r="L96" s="5">
        <f t="shared" si="8"/>
        <v>0.504</v>
      </c>
    </row>
    <row r="97" spans="1:12" x14ac:dyDescent="0.3">
      <c r="A97" s="2" t="s">
        <v>202</v>
      </c>
      <c r="B97" s="3" t="s">
        <v>203</v>
      </c>
      <c r="C97" s="3" t="s">
        <v>14</v>
      </c>
      <c r="D97" s="4">
        <v>25</v>
      </c>
      <c r="E97" s="4">
        <v>42</v>
      </c>
      <c r="F97" s="4">
        <v>80</v>
      </c>
      <c r="G97" s="4">
        <v>86</v>
      </c>
      <c r="H97" s="4">
        <v>76</v>
      </c>
      <c r="I97" s="4">
        <f t="shared" si="6"/>
        <v>309</v>
      </c>
      <c r="J97" s="4">
        <v>500</v>
      </c>
      <c r="K97" s="5">
        <f t="shared" si="7"/>
        <v>0.61799999999999999</v>
      </c>
      <c r="L97" s="5">
        <f t="shared" si="8"/>
        <v>0.38200000000000001</v>
      </c>
    </row>
    <row r="98" spans="1:12" x14ac:dyDescent="0.3">
      <c r="A98" s="2" t="s">
        <v>204</v>
      </c>
      <c r="B98" s="3" t="s">
        <v>205</v>
      </c>
      <c r="C98" s="3" t="s">
        <v>22</v>
      </c>
      <c r="D98" s="4">
        <v>82</v>
      </c>
      <c r="E98" s="4">
        <v>31</v>
      </c>
      <c r="F98" s="4">
        <v>80</v>
      </c>
      <c r="G98" s="4">
        <v>64</v>
      </c>
      <c r="H98" s="4">
        <v>72</v>
      </c>
      <c r="I98" s="4">
        <f t="shared" ref="I98:I129" si="9">SUM(D98:H98)</f>
        <v>329</v>
      </c>
      <c r="J98" s="4">
        <v>500</v>
      </c>
      <c r="K98" s="5">
        <f t="shared" ref="K98:K129" si="10">I98/J98</f>
        <v>0.65800000000000003</v>
      </c>
      <c r="L98" s="5">
        <f t="shared" ref="L98:L129" si="11">1-K98</f>
        <v>0.34199999999999997</v>
      </c>
    </row>
    <row r="99" spans="1:12" x14ac:dyDescent="0.3">
      <c r="A99" s="2" t="s">
        <v>206</v>
      </c>
      <c r="B99" s="3" t="s">
        <v>207</v>
      </c>
      <c r="C99" s="3" t="s">
        <v>35</v>
      </c>
      <c r="D99" s="4">
        <v>62</v>
      </c>
      <c r="E99" s="4">
        <v>72</v>
      </c>
      <c r="F99" s="4">
        <v>83</v>
      </c>
      <c r="G99" s="4">
        <v>56</v>
      </c>
      <c r="H99" s="4">
        <v>71</v>
      </c>
      <c r="I99" s="4">
        <f t="shared" si="9"/>
        <v>344</v>
      </c>
      <c r="J99" s="4">
        <v>500</v>
      </c>
      <c r="K99" s="5">
        <f t="shared" si="10"/>
        <v>0.68799999999999994</v>
      </c>
      <c r="L99" s="5">
        <f t="shared" si="11"/>
        <v>0.31200000000000006</v>
      </c>
    </row>
    <row r="100" spans="1:12" x14ac:dyDescent="0.3">
      <c r="A100" s="2" t="s">
        <v>208</v>
      </c>
      <c r="B100" s="3" t="s">
        <v>209</v>
      </c>
      <c r="C100" s="3" t="s">
        <v>9</v>
      </c>
      <c r="D100" s="4">
        <v>60</v>
      </c>
      <c r="E100" s="4">
        <v>52</v>
      </c>
      <c r="F100" s="4">
        <v>61</v>
      </c>
      <c r="G100" s="4">
        <v>34</v>
      </c>
      <c r="H100" s="4">
        <v>71</v>
      </c>
      <c r="I100" s="4">
        <f t="shared" si="9"/>
        <v>278</v>
      </c>
      <c r="J100" s="4">
        <v>500</v>
      </c>
      <c r="K100" s="5">
        <f t="shared" si="10"/>
        <v>0.55600000000000005</v>
      </c>
      <c r="L100" s="5">
        <f t="shared" si="11"/>
        <v>0.44399999999999995</v>
      </c>
    </row>
    <row r="101" spans="1:12" x14ac:dyDescent="0.3">
      <c r="A101" s="2" t="s">
        <v>210</v>
      </c>
      <c r="B101" s="3" t="s">
        <v>211</v>
      </c>
      <c r="C101" s="3" t="s">
        <v>22</v>
      </c>
      <c r="D101" s="4">
        <v>72</v>
      </c>
      <c r="E101" s="4">
        <v>26</v>
      </c>
      <c r="F101" s="4">
        <v>44</v>
      </c>
      <c r="G101" s="4">
        <v>86</v>
      </c>
      <c r="H101" s="4">
        <v>66</v>
      </c>
      <c r="I101" s="4">
        <f t="shared" si="9"/>
        <v>294</v>
      </c>
      <c r="J101" s="4">
        <v>500</v>
      </c>
      <c r="K101" s="5">
        <f t="shared" si="10"/>
        <v>0.58799999999999997</v>
      </c>
      <c r="L101" s="5">
        <f t="shared" si="11"/>
        <v>0.41200000000000003</v>
      </c>
    </row>
    <row r="102" spans="1:12" x14ac:dyDescent="0.3">
      <c r="A102" s="2" t="s">
        <v>212</v>
      </c>
      <c r="B102" s="3" t="s">
        <v>213</v>
      </c>
      <c r="C102" s="3" t="s">
        <v>22</v>
      </c>
      <c r="D102" s="4">
        <v>26</v>
      </c>
      <c r="E102" s="4">
        <v>46</v>
      </c>
      <c r="F102" s="4">
        <v>54</v>
      </c>
      <c r="G102" s="4">
        <v>90</v>
      </c>
      <c r="H102" s="4">
        <v>36</v>
      </c>
      <c r="I102" s="4">
        <f t="shared" si="9"/>
        <v>252</v>
      </c>
      <c r="J102" s="4">
        <v>500</v>
      </c>
      <c r="K102" s="5">
        <f t="shared" si="10"/>
        <v>0.504</v>
      </c>
      <c r="L102" s="5">
        <f t="shared" si="11"/>
        <v>0.496</v>
      </c>
    </row>
    <row r="103" spans="1:12" x14ac:dyDescent="0.3">
      <c r="A103" s="2" t="s">
        <v>214</v>
      </c>
      <c r="B103" s="3" t="s">
        <v>215</v>
      </c>
      <c r="C103" s="3" t="s">
        <v>9</v>
      </c>
      <c r="D103" s="4">
        <v>23</v>
      </c>
      <c r="E103" s="4">
        <v>50</v>
      </c>
      <c r="F103" s="4">
        <v>40</v>
      </c>
      <c r="G103" s="4">
        <v>59</v>
      </c>
      <c r="H103" s="4">
        <v>90</v>
      </c>
      <c r="I103" s="4">
        <f t="shared" si="9"/>
        <v>262</v>
      </c>
      <c r="J103" s="4">
        <v>500</v>
      </c>
      <c r="K103" s="5">
        <f t="shared" si="10"/>
        <v>0.52400000000000002</v>
      </c>
      <c r="L103" s="5">
        <f t="shared" si="11"/>
        <v>0.47599999999999998</v>
      </c>
    </row>
    <row r="104" spans="1:12" x14ac:dyDescent="0.3">
      <c r="A104" s="2" t="s">
        <v>216</v>
      </c>
      <c r="B104" s="3" t="s">
        <v>217</v>
      </c>
      <c r="C104" s="3" t="s">
        <v>9</v>
      </c>
      <c r="D104" s="4">
        <v>48</v>
      </c>
      <c r="E104" s="4">
        <v>34</v>
      </c>
      <c r="F104" s="4">
        <v>79</v>
      </c>
      <c r="G104" s="4">
        <v>35</v>
      </c>
      <c r="H104" s="4">
        <v>39</v>
      </c>
      <c r="I104" s="4">
        <f t="shared" si="9"/>
        <v>235</v>
      </c>
      <c r="J104" s="4">
        <v>500</v>
      </c>
      <c r="K104" s="5">
        <f t="shared" si="10"/>
        <v>0.47</v>
      </c>
      <c r="L104" s="5">
        <f t="shared" si="11"/>
        <v>0.53</v>
      </c>
    </row>
    <row r="105" spans="1:12" x14ac:dyDescent="0.3">
      <c r="A105" s="2" t="s">
        <v>218</v>
      </c>
      <c r="B105" s="3" t="s">
        <v>219</v>
      </c>
      <c r="C105" s="3" t="s">
        <v>14</v>
      </c>
      <c r="D105" s="4">
        <v>54</v>
      </c>
      <c r="E105" s="4">
        <v>73</v>
      </c>
      <c r="F105" s="4">
        <v>81</v>
      </c>
      <c r="G105" s="4">
        <v>80</v>
      </c>
      <c r="H105" s="4">
        <v>51</v>
      </c>
      <c r="I105" s="4">
        <f t="shared" si="9"/>
        <v>339</v>
      </c>
      <c r="J105" s="4">
        <v>500</v>
      </c>
      <c r="K105" s="5">
        <f t="shared" si="10"/>
        <v>0.67800000000000005</v>
      </c>
      <c r="L105" s="5">
        <f t="shared" si="11"/>
        <v>0.32199999999999995</v>
      </c>
    </row>
    <row r="106" spans="1:12" x14ac:dyDescent="0.3">
      <c r="A106" s="2" t="s">
        <v>220</v>
      </c>
      <c r="B106" s="3" t="s">
        <v>221</v>
      </c>
      <c r="C106" s="3" t="s">
        <v>22</v>
      </c>
      <c r="D106" s="4">
        <v>44</v>
      </c>
      <c r="E106" s="4">
        <v>85</v>
      </c>
      <c r="F106" s="4">
        <v>37</v>
      </c>
      <c r="G106" s="4">
        <v>28</v>
      </c>
      <c r="H106" s="4">
        <v>55</v>
      </c>
      <c r="I106" s="4">
        <f t="shared" si="9"/>
        <v>249</v>
      </c>
      <c r="J106" s="4">
        <v>500</v>
      </c>
      <c r="K106" s="5">
        <f t="shared" si="10"/>
        <v>0.498</v>
      </c>
      <c r="L106" s="5">
        <f t="shared" si="11"/>
        <v>0.502</v>
      </c>
    </row>
    <row r="107" spans="1:12" x14ac:dyDescent="0.3">
      <c r="A107" s="2" t="s">
        <v>222</v>
      </c>
      <c r="B107" s="3" t="s">
        <v>223</v>
      </c>
      <c r="C107" s="3" t="s">
        <v>17</v>
      </c>
      <c r="D107" s="4">
        <v>20</v>
      </c>
      <c r="E107" s="4">
        <v>56</v>
      </c>
      <c r="F107" s="4">
        <v>58</v>
      </c>
      <c r="G107" s="4">
        <v>95</v>
      </c>
      <c r="H107" s="4">
        <v>94</v>
      </c>
      <c r="I107" s="4">
        <f t="shared" si="9"/>
        <v>323</v>
      </c>
      <c r="J107" s="4">
        <v>500</v>
      </c>
      <c r="K107" s="5">
        <f t="shared" si="10"/>
        <v>0.64600000000000002</v>
      </c>
      <c r="L107" s="5">
        <f t="shared" si="11"/>
        <v>0.35399999999999998</v>
      </c>
    </row>
    <row r="108" spans="1:12" x14ac:dyDescent="0.3">
      <c r="A108" s="2" t="s">
        <v>224</v>
      </c>
      <c r="B108" s="3" t="s">
        <v>225</v>
      </c>
      <c r="C108" s="3" t="s">
        <v>22</v>
      </c>
      <c r="D108" s="4">
        <v>88</v>
      </c>
      <c r="E108" s="4">
        <v>81</v>
      </c>
      <c r="F108" s="4">
        <v>64</v>
      </c>
      <c r="G108" s="4">
        <v>62</v>
      </c>
      <c r="H108" s="4">
        <v>90</v>
      </c>
      <c r="I108" s="4">
        <f t="shared" si="9"/>
        <v>385</v>
      </c>
      <c r="J108" s="4">
        <v>500</v>
      </c>
      <c r="K108" s="5">
        <f t="shared" si="10"/>
        <v>0.77</v>
      </c>
      <c r="L108" s="5">
        <f t="shared" si="11"/>
        <v>0.22999999999999998</v>
      </c>
    </row>
    <row r="109" spans="1:12" x14ac:dyDescent="0.3">
      <c r="A109" s="2" t="s">
        <v>226</v>
      </c>
      <c r="B109" s="3" t="s">
        <v>227</v>
      </c>
      <c r="C109" s="3" t="s">
        <v>17</v>
      </c>
      <c r="D109" s="4">
        <v>44</v>
      </c>
      <c r="E109" s="4">
        <v>50</v>
      </c>
      <c r="F109" s="4">
        <v>93</v>
      </c>
      <c r="G109" s="4">
        <v>69</v>
      </c>
      <c r="H109" s="4">
        <v>49</v>
      </c>
      <c r="I109" s="4">
        <f t="shared" si="9"/>
        <v>305</v>
      </c>
      <c r="J109" s="4">
        <v>500</v>
      </c>
      <c r="K109" s="5">
        <f t="shared" si="10"/>
        <v>0.61</v>
      </c>
      <c r="L109" s="5">
        <f t="shared" si="11"/>
        <v>0.39</v>
      </c>
    </row>
    <row r="110" spans="1:12" x14ac:dyDescent="0.3">
      <c r="A110" s="2" t="s">
        <v>228</v>
      </c>
      <c r="B110" s="3" t="s">
        <v>229</v>
      </c>
      <c r="C110" s="3" t="s">
        <v>22</v>
      </c>
      <c r="D110" s="4">
        <v>68</v>
      </c>
      <c r="E110" s="4">
        <v>69</v>
      </c>
      <c r="F110" s="4">
        <v>39</v>
      </c>
      <c r="G110" s="4">
        <v>83</v>
      </c>
      <c r="H110" s="4">
        <v>24</v>
      </c>
      <c r="I110" s="4">
        <f t="shared" si="9"/>
        <v>283</v>
      </c>
      <c r="J110" s="4">
        <v>500</v>
      </c>
      <c r="K110" s="5">
        <f t="shared" si="10"/>
        <v>0.56599999999999995</v>
      </c>
      <c r="L110" s="5">
        <f t="shared" si="11"/>
        <v>0.43400000000000005</v>
      </c>
    </row>
    <row r="111" spans="1:12" x14ac:dyDescent="0.3">
      <c r="A111" s="2" t="s">
        <v>230</v>
      </c>
      <c r="B111" s="3" t="s">
        <v>231</v>
      </c>
      <c r="C111" s="3" t="s">
        <v>17</v>
      </c>
      <c r="D111" s="4">
        <v>32</v>
      </c>
      <c r="E111" s="4">
        <v>76</v>
      </c>
      <c r="F111" s="4">
        <v>32</v>
      </c>
      <c r="G111" s="4">
        <v>87</v>
      </c>
      <c r="H111" s="4">
        <v>78</v>
      </c>
      <c r="I111" s="4">
        <f t="shared" si="9"/>
        <v>305</v>
      </c>
      <c r="J111" s="4">
        <v>500</v>
      </c>
      <c r="K111" s="5">
        <f t="shared" si="10"/>
        <v>0.61</v>
      </c>
      <c r="L111" s="5">
        <f t="shared" si="11"/>
        <v>0.39</v>
      </c>
    </row>
    <row r="112" spans="1:12" x14ac:dyDescent="0.3">
      <c r="A112" s="2" t="s">
        <v>232</v>
      </c>
      <c r="B112" s="3" t="s">
        <v>233</v>
      </c>
      <c r="C112" s="3" t="s">
        <v>22</v>
      </c>
      <c r="D112" s="4">
        <v>39</v>
      </c>
      <c r="E112" s="4">
        <v>29</v>
      </c>
      <c r="F112" s="4">
        <v>80</v>
      </c>
      <c r="G112" s="4">
        <v>53</v>
      </c>
      <c r="H112" s="4">
        <v>63</v>
      </c>
      <c r="I112" s="4">
        <f t="shared" si="9"/>
        <v>264</v>
      </c>
      <c r="J112" s="4">
        <v>500</v>
      </c>
      <c r="K112" s="5">
        <f t="shared" si="10"/>
        <v>0.52800000000000002</v>
      </c>
      <c r="L112" s="5">
        <f t="shared" si="11"/>
        <v>0.47199999999999998</v>
      </c>
    </row>
    <row r="113" spans="1:12" x14ac:dyDescent="0.3">
      <c r="A113" s="2" t="s">
        <v>234</v>
      </c>
      <c r="B113" s="3" t="s">
        <v>235</v>
      </c>
      <c r="C113" s="3" t="s">
        <v>9</v>
      </c>
      <c r="D113" s="4">
        <v>62</v>
      </c>
      <c r="E113" s="4">
        <v>88</v>
      </c>
      <c r="F113" s="4">
        <v>68</v>
      </c>
      <c r="G113" s="4">
        <v>60</v>
      </c>
      <c r="H113" s="4">
        <v>82</v>
      </c>
      <c r="I113" s="4">
        <f t="shared" si="9"/>
        <v>360</v>
      </c>
      <c r="J113" s="4">
        <v>500</v>
      </c>
      <c r="K113" s="5">
        <f t="shared" si="10"/>
        <v>0.72</v>
      </c>
      <c r="L113" s="5">
        <f t="shared" si="11"/>
        <v>0.28000000000000003</v>
      </c>
    </row>
    <row r="114" spans="1:12" x14ac:dyDescent="0.3">
      <c r="A114" s="2" t="s">
        <v>236</v>
      </c>
      <c r="B114" s="3" t="s">
        <v>237</v>
      </c>
      <c r="C114" s="3" t="s">
        <v>9</v>
      </c>
      <c r="D114" s="4">
        <v>50</v>
      </c>
      <c r="E114" s="4">
        <v>56</v>
      </c>
      <c r="F114" s="4">
        <v>49</v>
      </c>
      <c r="G114" s="4">
        <v>31</v>
      </c>
      <c r="H114" s="4">
        <v>75</v>
      </c>
      <c r="I114" s="4">
        <f t="shared" si="9"/>
        <v>261</v>
      </c>
      <c r="J114" s="4">
        <v>500</v>
      </c>
      <c r="K114" s="5">
        <f t="shared" si="10"/>
        <v>0.52200000000000002</v>
      </c>
      <c r="L114" s="5">
        <f t="shared" si="11"/>
        <v>0.47799999999999998</v>
      </c>
    </row>
    <row r="115" spans="1:12" x14ac:dyDescent="0.3">
      <c r="A115" s="2" t="s">
        <v>238</v>
      </c>
      <c r="B115" s="3" t="s">
        <v>239</v>
      </c>
      <c r="C115" s="3" t="s">
        <v>22</v>
      </c>
      <c r="D115" s="4">
        <v>41</v>
      </c>
      <c r="E115" s="4">
        <v>58</v>
      </c>
      <c r="F115" s="4">
        <v>23</v>
      </c>
      <c r="G115" s="4">
        <v>25</v>
      </c>
      <c r="H115" s="4">
        <v>61</v>
      </c>
      <c r="I115" s="4">
        <f t="shared" si="9"/>
        <v>208</v>
      </c>
      <c r="J115" s="4">
        <v>500</v>
      </c>
      <c r="K115" s="5">
        <f t="shared" si="10"/>
        <v>0.41599999999999998</v>
      </c>
      <c r="L115" s="5">
        <f t="shared" si="11"/>
        <v>0.58400000000000007</v>
      </c>
    </row>
    <row r="116" spans="1:12" x14ac:dyDescent="0.3">
      <c r="A116" s="2" t="s">
        <v>240</v>
      </c>
      <c r="B116" s="3" t="s">
        <v>241</v>
      </c>
      <c r="C116" s="3" t="s">
        <v>17</v>
      </c>
      <c r="D116" s="4">
        <v>75</v>
      </c>
      <c r="E116" s="4">
        <v>38</v>
      </c>
      <c r="F116" s="4">
        <v>51</v>
      </c>
      <c r="G116" s="4">
        <v>87</v>
      </c>
      <c r="H116" s="4">
        <v>72</v>
      </c>
      <c r="I116" s="4">
        <f t="shared" si="9"/>
        <v>323</v>
      </c>
      <c r="J116" s="4">
        <v>500</v>
      </c>
      <c r="K116" s="5">
        <f t="shared" si="10"/>
        <v>0.64600000000000002</v>
      </c>
      <c r="L116" s="5">
        <f t="shared" si="11"/>
        <v>0.35399999999999998</v>
      </c>
    </row>
    <row r="117" spans="1:12" x14ac:dyDescent="0.3">
      <c r="A117" s="2" t="s">
        <v>242</v>
      </c>
      <c r="B117" s="3" t="s">
        <v>243</v>
      </c>
      <c r="C117" s="3" t="s">
        <v>35</v>
      </c>
      <c r="D117" s="4">
        <v>42</v>
      </c>
      <c r="E117" s="4">
        <v>30</v>
      </c>
      <c r="F117" s="4">
        <v>68</v>
      </c>
      <c r="G117" s="4">
        <v>50</v>
      </c>
      <c r="H117" s="4">
        <v>83</v>
      </c>
      <c r="I117" s="4">
        <f t="shared" si="9"/>
        <v>273</v>
      </c>
      <c r="J117" s="4">
        <v>500</v>
      </c>
      <c r="K117" s="5">
        <f t="shared" si="10"/>
        <v>0.54600000000000004</v>
      </c>
      <c r="L117" s="5">
        <f t="shared" si="11"/>
        <v>0.45399999999999996</v>
      </c>
    </row>
    <row r="118" spans="1:12" x14ac:dyDescent="0.3">
      <c r="A118" s="2" t="s">
        <v>244</v>
      </c>
      <c r="B118" s="3" t="s">
        <v>245</v>
      </c>
      <c r="C118" s="3" t="s">
        <v>22</v>
      </c>
      <c r="D118" s="4">
        <v>52</v>
      </c>
      <c r="E118" s="4">
        <v>78</v>
      </c>
      <c r="F118" s="4">
        <v>52</v>
      </c>
      <c r="G118" s="4">
        <v>21</v>
      </c>
      <c r="H118" s="4">
        <v>79</v>
      </c>
      <c r="I118" s="4">
        <f t="shared" si="9"/>
        <v>282</v>
      </c>
      <c r="J118" s="4">
        <v>500</v>
      </c>
      <c r="K118" s="5">
        <f t="shared" si="10"/>
        <v>0.56399999999999995</v>
      </c>
      <c r="L118" s="5">
        <f t="shared" si="11"/>
        <v>0.43600000000000005</v>
      </c>
    </row>
    <row r="119" spans="1:12" x14ac:dyDescent="0.3">
      <c r="A119" s="2" t="s">
        <v>246</v>
      </c>
      <c r="B119" s="3" t="s">
        <v>247</v>
      </c>
      <c r="C119" s="3" t="s">
        <v>9</v>
      </c>
      <c r="D119" s="4">
        <v>83</v>
      </c>
      <c r="E119" s="4">
        <v>56</v>
      </c>
      <c r="F119" s="4">
        <v>49</v>
      </c>
      <c r="G119" s="4">
        <v>65</v>
      </c>
      <c r="H119" s="4">
        <v>48</v>
      </c>
      <c r="I119" s="4">
        <f t="shared" si="9"/>
        <v>301</v>
      </c>
      <c r="J119" s="4">
        <v>500</v>
      </c>
      <c r="K119" s="5">
        <f t="shared" si="10"/>
        <v>0.60199999999999998</v>
      </c>
      <c r="L119" s="5">
        <f t="shared" si="11"/>
        <v>0.39800000000000002</v>
      </c>
    </row>
    <row r="120" spans="1:12" x14ac:dyDescent="0.3">
      <c r="A120" s="2" t="s">
        <v>248</v>
      </c>
      <c r="B120" s="3" t="s">
        <v>249</v>
      </c>
      <c r="C120" s="3" t="s">
        <v>17</v>
      </c>
      <c r="D120" s="4">
        <v>37</v>
      </c>
      <c r="E120" s="4">
        <v>32</v>
      </c>
      <c r="F120" s="4">
        <v>25</v>
      </c>
      <c r="G120" s="4">
        <v>59</v>
      </c>
      <c r="H120" s="4">
        <v>76</v>
      </c>
      <c r="I120" s="4">
        <f t="shared" si="9"/>
        <v>229</v>
      </c>
      <c r="J120" s="4">
        <v>500</v>
      </c>
      <c r="K120" s="5">
        <f t="shared" si="10"/>
        <v>0.45800000000000002</v>
      </c>
      <c r="L120" s="5">
        <f t="shared" si="11"/>
        <v>0.54200000000000004</v>
      </c>
    </row>
    <row r="121" spans="1:12" x14ac:dyDescent="0.3">
      <c r="A121" s="2" t="s">
        <v>250</v>
      </c>
      <c r="B121" s="3" t="s">
        <v>251</v>
      </c>
      <c r="C121" s="3" t="s">
        <v>35</v>
      </c>
      <c r="D121" s="4">
        <v>31</v>
      </c>
      <c r="E121" s="4">
        <v>57</v>
      </c>
      <c r="F121" s="4">
        <v>61</v>
      </c>
      <c r="G121" s="4">
        <v>73</v>
      </c>
      <c r="H121" s="4">
        <v>42</v>
      </c>
      <c r="I121" s="4">
        <f t="shared" si="9"/>
        <v>264</v>
      </c>
      <c r="J121" s="4">
        <v>500</v>
      </c>
      <c r="K121" s="5">
        <f t="shared" si="10"/>
        <v>0.52800000000000002</v>
      </c>
      <c r="L121" s="5">
        <f t="shared" si="11"/>
        <v>0.47199999999999998</v>
      </c>
    </row>
    <row r="122" spans="1:12" x14ac:dyDescent="0.3">
      <c r="A122" s="2" t="s">
        <v>252</v>
      </c>
      <c r="B122" s="3" t="s">
        <v>253</v>
      </c>
      <c r="C122" s="3" t="s">
        <v>17</v>
      </c>
      <c r="D122" s="4">
        <v>87</v>
      </c>
      <c r="E122" s="4">
        <v>84</v>
      </c>
      <c r="F122" s="4">
        <v>54</v>
      </c>
      <c r="G122" s="4">
        <v>41</v>
      </c>
      <c r="H122" s="4">
        <v>52</v>
      </c>
      <c r="I122" s="4">
        <f t="shared" si="9"/>
        <v>318</v>
      </c>
      <c r="J122" s="4">
        <v>500</v>
      </c>
      <c r="K122" s="5">
        <f t="shared" si="10"/>
        <v>0.63600000000000001</v>
      </c>
      <c r="L122" s="5">
        <f t="shared" si="11"/>
        <v>0.36399999999999999</v>
      </c>
    </row>
    <row r="123" spans="1:12" x14ac:dyDescent="0.3">
      <c r="A123" s="2" t="s">
        <v>254</v>
      </c>
      <c r="B123" s="3" t="s">
        <v>255</v>
      </c>
      <c r="C123" s="3" t="s">
        <v>9</v>
      </c>
      <c r="D123" s="4">
        <v>79</v>
      </c>
      <c r="E123" s="4">
        <v>29</v>
      </c>
      <c r="F123" s="4">
        <v>38</v>
      </c>
      <c r="G123" s="4">
        <v>48</v>
      </c>
      <c r="H123" s="4">
        <v>70</v>
      </c>
      <c r="I123" s="4">
        <f t="shared" si="9"/>
        <v>264</v>
      </c>
      <c r="J123" s="4">
        <v>500</v>
      </c>
      <c r="K123" s="5">
        <f t="shared" si="10"/>
        <v>0.52800000000000002</v>
      </c>
      <c r="L123" s="5">
        <f t="shared" si="11"/>
        <v>0.47199999999999998</v>
      </c>
    </row>
    <row r="124" spans="1:12" x14ac:dyDescent="0.3">
      <c r="A124" s="2" t="s">
        <v>256</v>
      </c>
      <c r="B124" s="3" t="s">
        <v>257</v>
      </c>
      <c r="C124" s="3" t="s">
        <v>22</v>
      </c>
      <c r="D124" s="4">
        <v>21</v>
      </c>
      <c r="E124" s="4">
        <v>53</v>
      </c>
      <c r="F124" s="4">
        <v>88</v>
      </c>
      <c r="G124" s="4">
        <v>35</v>
      </c>
      <c r="H124" s="4">
        <v>78</v>
      </c>
      <c r="I124" s="4">
        <f t="shared" si="9"/>
        <v>275</v>
      </c>
      <c r="J124" s="4">
        <v>500</v>
      </c>
      <c r="K124" s="5">
        <f t="shared" si="10"/>
        <v>0.55000000000000004</v>
      </c>
      <c r="L124" s="5">
        <f t="shared" si="11"/>
        <v>0.44999999999999996</v>
      </c>
    </row>
    <row r="125" spans="1:12" x14ac:dyDescent="0.3">
      <c r="A125" s="2" t="s">
        <v>258</v>
      </c>
      <c r="B125" s="3" t="s">
        <v>259</v>
      </c>
      <c r="C125" s="3" t="s">
        <v>14</v>
      </c>
      <c r="D125" s="4">
        <v>68</v>
      </c>
      <c r="E125" s="4">
        <v>67</v>
      </c>
      <c r="F125" s="4">
        <v>33</v>
      </c>
      <c r="G125" s="4">
        <v>49</v>
      </c>
      <c r="H125" s="4">
        <v>80</v>
      </c>
      <c r="I125" s="4">
        <f t="shared" si="9"/>
        <v>297</v>
      </c>
      <c r="J125" s="4">
        <v>500</v>
      </c>
      <c r="K125" s="5">
        <f t="shared" si="10"/>
        <v>0.59399999999999997</v>
      </c>
      <c r="L125" s="5">
        <f t="shared" si="11"/>
        <v>0.40600000000000003</v>
      </c>
    </row>
    <row r="126" spans="1:12" x14ac:dyDescent="0.3">
      <c r="A126" s="2" t="s">
        <v>260</v>
      </c>
      <c r="B126" s="3" t="s">
        <v>261</v>
      </c>
      <c r="C126" s="3" t="s">
        <v>17</v>
      </c>
      <c r="D126" s="4">
        <v>48</v>
      </c>
      <c r="E126" s="4">
        <v>28</v>
      </c>
      <c r="F126" s="4">
        <v>79</v>
      </c>
      <c r="G126" s="4">
        <v>58</v>
      </c>
      <c r="H126" s="4">
        <v>72</v>
      </c>
      <c r="I126" s="4">
        <f t="shared" si="9"/>
        <v>285</v>
      </c>
      <c r="J126" s="4">
        <v>500</v>
      </c>
      <c r="K126" s="5">
        <f t="shared" si="10"/>
        <v>0.56999999999999995</v>
      </c>
      <c r="L126" s="5">
        <f t="shared" si="11"/>
        <v>0.43000000000000005</v>
      </c>
    </row>
    <row r="127" spans="1:12" x14ac:dyDescent="0.3">
      <c r="A127" s="2" t="s">
        <v>262</v>
      </c>
      <c r="B127" s="3" t="s">
        <v>263</v>
      </c>
      <c r="C127" s="3" t="s">
        <v>9</v>
      </c>
      <c r="D127" s="4">
        <v>58</v>
      </c>
      <c r="E127" s="4">
        <v>83</v>
      </c>
      <c r="F127" s="4">
        <v>34</v>
      </c>
      <c r="G127" s="4">
        <v>32</v>
      </c>
      <c r="H127" s="4">
        <v>50</v>
      </c>
      <c r="I127" s="4">
        <f t="shared" si="9"/>
        <v>257</v>
      </c>
      <c r="J127" s="4">
        <v>500</v>
      </c>
      <c r="K127" s="5">
        <f t="shared" si="10"/>
        <v>0.51400000000000001</v>
      </c>
      <c r="L127" s="5">
        <f t="shared" si="11"/>
        <v>0.48599999999999999</v>
      </c>
    </row>
    <row r="128" spans="1:12" x14ac:dyDescent="0.3">
      <c r="A128" s="2" t="s">
        <v>264</v>
      </c>
      <c r="B128" s="3" t="s">
        <v>265</v>
      </c>
      <c r="C128" s="3" t="s">
        <v>22</v>
      </c>
      <c r="D128" s="4">
        <v>67</v>
      </c>
      <c r="E128" s="4">
        <v>89</v>
      </c>
      <c r="F128" s="4">
        <v>73</v>
      </c>
      <c r="G128" s="4">
        <v>95</v>
      </c>
      <c r="H128" s="4">
        <v>39</v>
      </c>
      <c r="I128" s="4">
        <f t="shared" si="9"/>
        <v>363</v>
      </c>
      <c r="J128" s="4">
        <v>500</v>
      </c>
      <c r="K128" s="5">
        <f t="shared" si="10"/>
        <v>0.72599999999999998</v>
      </c>
      <c r="L128" s="5">
        <f t="shared" si="11"/>
        <v>0.27400000000000002</v>
      </c>
    </row>
    <row r="129" spans="1:12" x14ac:dyDescent="0.3">
      <c r="A129" s="2" t="s">
        <v>266</v>
      </c>
      <c r="B129" s="3" t="s">
        <v>267</v>
      </c>
      <c r="C129" s="3" t="s">
        <v>22</v>
      </c>
      <c r="D129" s="4">
        <v>72</v>
      </c>
      <c r="E129" s="4">
        <v>55</v>
      </c>
      <c r="F129" s="4">
        <v>24</v>
      </c>
      <c r="G129" s="4">
        <v>67</v>
      </c>
      <c r="H129" s="4">
        <v>47</v>
      </c>
      <c r="I129" s="4">
        <f t="shared" si="9"/>
        <v>265</v>
      </c>
      <c r="J129" s="4">
        <v>500</v>
      </c>
      <c r="K129" s="5">
        <f t="shared" si="10"/>
        <v>0.53</v>
      </c>
      <c r="L129" s="5">
        <f t="shared" si="11"/>
        <v>0.47</v>
      </c>
    </row>
    <row r="130" spans="1:12" x14ac:dyDescent="0.3">
      <c r="A130" s="2" t="s">
        <v>268</v>
      </c>
      <c r="B130" s="3" t="s">
        <v>269</v>
      </c>
      <c r="C130" s="3" t="s">
        <v>17</v>
      </c>
      <c r="D130" s="4">
        <v>32</v>
      </c>
      <c r="E130" s="4">
        <v>67</v>
      </c>
      <c r="F130" s="4">
        <v>89</v>
      </c>
      <c r="G130" s="4">
        <v>65</v>
      </c>
      <c r="H130" s="4">
        <v>27</v>
      </c>
      <c r="I130" s="4">
        <f t="shared" ref="I130:I161" si="12">SUM(D130:H130)</f>
        <v>280</v>
      </c>
      <c r="J130" s="4">
        <v>500</v>
      </c>
      <c r="K130" s="5">
        <f t="shared" ref="K130:K161" si="13">I130/J130</f>
        <v>0.56000000000000005</v>
      </c>
      <c r="L130" s="5">
        <f t="shared" ref="L130:L161" si="14">1-K130</f>
        <v>0.43999999999999995</v>
      </c>
    </row>
    <row r="131" spans="1:12" x14ac:dyDescent="0.3">
      <c r="A131" s="2" t="s">
        <v>270</v>
      </c>
      <c r="B131" s="3" t="s">
        <v>271</v>
      </c>
      <c r="C131" s="3" t="s">
        <v>9</v>
      </c>
      <c r="D131" s="4">
        <v>78</v>
      </c>
      <c r="E131" s="4">
        <v>31</v>
      </c>
      <c r="F131" s="4">
        <v>47</v>
      </c>
      <c r="G131" s="4">
        <v>22</v>
      </c>
      <c r="H131" s="4">
        <v>26</v>
      </c>
      <c r="I131" s="4">
        <f t="shared" si="12"/>
        <v>204</v>
      </c>
      <c r="J131" s="4">
        <v>500</v>
      </c>
      <c r="K131" s="5">
        <f t="shared" si="13"/>
        <v>0.40799999999999997</v>
      </c>
      <c r="L131" s="5">
        <f t="shared" si="14"/>
        <v>0.59200000000000008</v>
      </c>
    </row>
    <row r="132" spans="1:12" x14ac:dyDescent="0.3">
      <c r="A132" s="2" t="s">
        <v>272</v>
      </c>
      <c r="B132" s="3" t="s">
        <v>273</v>
      </c>
      <c r="C132" s="3" t="s">
        <v>14</v>
      </c>
      <c r="D132" s="4">
        <v>46</v>
      </c>
      <c r="E132" s="4">
        <v>28</v>
      </c>
      <c r="F132" s="4">
        <v>90</v>
      </c>
      <c r="G132" s="4">
        <v>46</v>
      </c>
      <c r="H132" s="4">
        <v>95</v>
      </c>
      <c r="I132" s="4">
        <f t="shared" si="12"/>
        <v>305</v>
      </c>
      <c r="J132" s="4">
        <v>500</v>
      </c>
      <c r="K132" s="5">
        <f t="shared" si="13"/>
        <v>0.61</v>
      </c>
      <c r="L132" s="5">
        <f t="shared" si="14"/>
        <v>0.39</v>
      </c>
    </row>
    <row r="133" spans="1:12" x14ac:dyDescent="0.3">
      <c r="A133" s="2" t="s">
        <v>274</v>
      </c>
      <c r="B133" s="3" t="s">
        <v>275</v>
      </c>
      <c r="C133" s="3" t="s">
        <v>35</v>
      </c>
      <c r="D133" s="4">
        <v>20</v>
      </c>
      <c r="E133" s="4">
        <v>55</v>
      </c>
      <c r="F133" s="4">
        <v>38</v>
      </c>
      <c r="G133" s="4">
        <v>36</v>
      </c>
      <c r="H133" s="4">
        <v>89</v>
      </c>
      <c r="I133" s="4">
        <f t="shared" si="12"/>
        <v>238</v>
      </c>
      <c r="J133" s="4">
        <v>500</v>
      </c>
      <c r="K133" s="5">
        <f t="shared" si="13"/>
        <v>0.47599999999999998</v>
      </c>
      <c r="L133" s="5">
        <f t="shared" si="14"/>
        <v>0.52400000000000002</v>
      </c>
    </row>
    <row r="134" spans="1:12" x14ac:dyDescent="0.3">
      <c r="A134" s="2" t="s">
        <v>276</v>
      </c>
      <c r="B134" s="3" t="s">
        <v>277</v>
      </c>
      <c r="C134" s="3" t="s">
        <v>9</v>
      </c>
      <c r="D134" s="4">
        <v>36</v>
      </c>
      <c r="E134" s="4">
        <v>21</v>
      </c>
      <c r="F134" s="4">
        <v>65</v>
      </c>
      <c r="G134" s="4">
        <v>50</v>
      </c>
      <c r="H134" s="4">
        <v>95</v>
      </c>
      <c r="I134" s="4">
        <f t="shared" si="12"/>
        <v>267</v>
      </c>
      <c r="J134" s="4">
        <v>500</v>
      </c>
      <c r="K134" s="5">
        <f t="shared" si="13"/>
        <v>0.53400000000000003</v>
      </c>
      <c r="L134" s="5">
        <f t="shared" si="14"/>
        <v>0.46599999999999997</v>
      </c>
    </row>
    <row r="135" spans="1:12" x14ac:dyDescent="0.3">
      <c r="A135" s="2" t="s">
        <v>278</v>
      </c>
      <c r="B135" s="3" t="s">
        <v>279</v>
      </c>
      <c r="C135" s="3" t="s">
        <v>17</v>
      </c>
      <c r="D135" s="4">
        <v>26</v>
      </c>
      <c r="E135" s="4">
        <v>36</v>
      </c>
      <c r="F135" s="4">
        <v>73</v>
      </c>
      <c r="G135" s="4">
        <v>87</v>
      </c>
      <c r="H135" s="4">
        <v>34</v>
      </c>
      <c r="I135" s="4">
        <f t="shared" si="12"/>
        <v>256</v>
      </c>
      <c r="J135" s="4">
        <v>500</v>
      </c>
      <c r="K135" s="5">
        <f t="shared" si="13"/>
        <v>0.51200000000000001</v>
      </c>
      <c r="L135" s="5">
        <f t="shared" si="14"/>
        <v>0.48799999999999999</v>
      </c>
    </row>
    <row r="136" spans="1:12" x14ac:dyDescent="0.3">
      <c r="A136" s="2" t="s">
        <v>280</v>
      </c>
      <c r="B136" s="3" t="s">
        <v>281</v>
      </c>
      <c r="C136" s="3" t="s">
        <v>22</v>
      </c>
      <c r="D136" s="4">
        <v>66</v>
      </c>
      <c r="E136" s="4">
        <v>85</v>
      </c>
      <c r="F136" s="4">
        <v>95</v>
      </c>
      <c r="G136" s="4">
        <v>33</v>
      </c>
      <c r="H136" s="4">
        <v>77</v>
      </c>
      <c r="I136" s="4">
        <f t="shared" si="12"/>
        <v>356</v>
      </c>
      <c r="J136" s="4">
        <v>500</v>
      </c>
      <c r="K136" s="5">
        <f t="shared" si="13"/>
        <v>0.71199999999999997</v>
      </c>
      <c r="L136" s="5">
        <f t="shared" si="14"/>
        <v>0.28800000000000003</v>
      </c>
    </row>
    <row r="137" spans="1:12" x14ac:dyDescent="0.3">
      <c r="A137" s="2" t="s">
        <v>282</v>
      </c>
      <c r="B137" s="3" t="s">
        <v>283</v>
      </c>
      <c r="C137" s="3" t="s">
        <v>9</v>
      </c>
      <c r="D137" s="4">
        <v>86</v>
      </c>
      <c r="E137" s="4">
        <v>58</v>
      </c>
      <c r="F137" s="4">
        <v>78</v>
      </c>
      <c r="G137" s="4">
        <v>23</v>
      </c>
      <c r="H137" s="4">
        <v>27</v>
      </c>
      <c r="I137" s="4">
        <f t="shared" si="12"/>
        <v>272</v>
      </c>
      <c r="J137" s="4">
        <v>500</v>
      </c>
      <c r="K137" s="5">
        <f t="shared" si="13"/>
        <v>0.54400000000000004</v>
      </c>
      <c r="L137" s="5">
        <f t="shared" si="14"/>
        <v>0.45599999999999996</v>
      </c>
    </row>
    <row r="138" spans="1:12" x14ac:dyDescent="0.3">
      <c r="A138" s="2" t="s">
        <v>284</v>
      </c>
      <c r="B138" s="3" t="s">
        <v>285</v>
      </c>
      <c r="C138" s="3" t="s">
        <v>9</v>
      </c>
      <c r="D138" s="4">
        <v>82</v>
      </c>
      <c r="E138" s="4">
        <v>76</v>
      </c>
      <c r="F138" s="4">
        <v>29</v>
      </c>
      <c r="G138" s="4">
        <v>30</v>
      </c>
      <c r="H138" s="4">
        <v>61</v>
      </c>
      <c r="I138" s="4">
        <f t="shared" si="12"/>
        <v>278</v>
      </c>
      <c r="J138" s="4">
        <v>500</v>
      </c>
      <c r="K138" s="5">
        <f t="shared" si="13"/>
        <v>0.55600000000000005</v>
      </c>
      <c r="L138" s="5">
        <f t="shared" si="14"/>
        <v>0.44399999999999995</v>
      </c>
    </row>
    <row r="139" spans="1:12" x14ac:dyDescent="0.3">
      <c r="A139" s="2" t="s">
        <v>286</v>
      </c>
      <c r="B139" s="3" t="s">
        <v>287</v>
      </c>
      <c r="C139" s="3" t="s">
        <v>35</v>
      </c>
      <c r="D139" s="4">
        <v>55</v>
      </c>
      <c r="E139" s="4">
        <v>94</v>
      </c>
      <c r="F139" s="4">
        <v>90</v>
      </c>
      <c r="G139" s="4">
        <v>61</v>
      </c>
      <c r="H139" s="4">
        <v>68</v>
      </c>
      <c r="I139" s="4">
        <f t="shared" si="12"/>
        <v>368</v>
      </c>
      <c r="J139" s="4">
        <v>500</v>
      </c>
      <c r="K139" s="5">
        <f t="shared" si="13"/>
        <v>0.73599999999999999</v>
      </c>
      <c r="L139" s="5">
        <f t="shared" si="14"/>
        <v>0.26400000000000001</v>
      </c>
    </row>
    <row r="140" spans="1:12" x14ac:dyDescent="0.3">
      <c r="A140" s="2" t="s">
        <v>288</v>
      </c>
      <c r="B140" s="3" t="s">
        <v>289</v>
      </c>
      <c r="C140" s="3" t="s">
        <v>22</v>
      </c>
      <c r="D140" s="4">
        <v>84</v>
      </c>
      <c r="E140" s="4">
        <v>75</v>
      </c>
      <c r="F140" s="4">
        <v>32</v>
      </c>
      <c r="G140" s="4">
        <v>34</v>
      </c>
      <c r="H140" s="4">
        <v>90</v>
      </c>
      <c r="I140" s="4">
        <f t="shared" si="12"/>
        <v>315</v>
      </c>
      <c r="J140" s="4">
        <v>500</v>
      </c>
      <c r="K140" s="5">
        <f t="shared" si="13"/>
        <v>0.63</v>
      </c>
      <c r="L140" s="5">
        <f t="shared" si="14"/>
        <v>0.37</v>
      </c>
    </row>
    <row r="141" spans="1:12" x14ac:dyDescent="0.3">
      <c r="A141" s="2" t="s">
        <v>290</v>
      </c>
      <c r="B141" s="3" t="s">
        <v>291</v>
      </c>
      <c r="C141" s="3" t="s">
        <v>17</v>
      </c>
      <c r="D141" s="4">
        <v>74</v>
      </c>
      <c r="E141" s="4">
        <v>60</v>
      </c>
      <c r="F141" s="4">
        <v>52</v>
      </c>
      <c r="G141" s="4">
        <v>67</v>
      </c>
      <c r="H141" s="4">
        <v>39</v>
      </c>
      <c r="I141" s="4">
        <f t="shared" si="12"/>
        <v>292</v>
      </c>
      <c r="J141" s="4">
        <v>500</v>
      </c>
      <c r="K141" s="5">
        <f t="shared" si="13"/>
        <v>0.58399999999999996</v>
      </c>
      <c r="L141" s="5">
        <f t="shared" si="14"/>
        <v>0.41600000000000004</v>
      </c>
    </row>
    <row r="142" spans="1:12" x14ac:dyDescent="0.3">
      <c r="A142" s="2" t="s">
        <v>292</v>
      </c>
      <c r="B142" s="3" t="s">
        <v>293</v>
      </c>
      <c r="C142" s="3" t="s">
        <v>9</v>
      </c>
      <c r="D142" s="4">
        <v>30</v>
      </c>
      <c r="E142" s="4">
        <v>31</v>
      </c>
      <c r="F142" s="4">
        <v>75</v>
      </c>
      <c r="G142" s="4">
        <v>32</v>
      </c>
      <c r="H142" s="4">
        <v>67</v>
      </c>
      <c r="I142" s="4">
        <f t="shared" si="12"/>
        <v>235</v>
      </c>
      <c r="J142" s="4">
        <v>500</v>
      </c>
      <c r="K142" s="5">
        <f t="shared" si="13"/>
        <v>0.47</v>
      </c>
      <c r="L142" s="5">
        <f t="shared" si="14"/>
        <v>0.53</v>
      </c>
    </row>
    <row r="143" spans="1:12" x14ac:dyDescent="0.3">
      <c r="A143" s="2" t="s">
        <v>294</v>
      </c>
      <c r="B143" s="3" t="s">
        <v>295</v>
      </c>
      <c r="C143" s="3" t="s">
        <v>14</v>
      </c>
      <c r="D143" s="4">
        <v>91</v>
      </c>
      <c r="E143" s="4">
        <v>91</v>
      </c>
      <c r="F143" s="4">
        <v>62</v>
      </c>
      <c r="G143" s="4">
        <v>35</v>
      </c>
      <c r="H143" s="4">
        <v>72</v>
      </c>
      <c r="I143" s="4">
        <f t="shared" si="12"/>
        <v>351</v>
      </c>
      <c r="J143" s="4">
        <v>500</v>
      </c>
      <c r="K143" s="5">
        <f t="shared" si="13"/>
        <v>0.70199999999999996</v>
      </c>
      <c r="L143" s="5">
        <f t="shared" si="14"/>
        <v>0.29800000000000004</v>
      </c>
    </row>
    <row r="144" spans="1:12" x14ac:dyDescent="0.3">
      <c r="A144" s="2" t="s">
        <v>296</v>
      </c>
      <c r="B144" s="3" t="s">
        <v>297</v>
      </c>
      <c r="C144" s="3" t="s">
        <v>9</v>
      </c>
      <c r="D144" s="4">
        <v>56</v>
      </c>
      <c r="E144" s="4">
        <v>59</v>
      </c>
      <c r="F144" s="4">
        <v>65</v>
      </c>
      <c r="G144" s="4">
        <v>33</v>
      </c>
      <c r="H144" s="4">
        <v>93</v>
      </c>
      <c r="I144" s="4">
        <f t="shared" si="12"/>
        <v>306</v>
      </c>
      <c r="J144" s="4">
        <v>500</v>
      </c>
      <c r="K144" s="5">
        <f t="shared" si="13"/>
        <v>0.61199999999999999</v>
      </c>
      <c r="L144" s="5">
        <f t="shared" si="14"/>
        <v>0.38800000000000001</v>
      </c>
    </row>
    <row r="145" spans="1:12" x14ac:dyDescent="0.3">
      <c r="A145" s="2" t="s">
        <v>298</v>
      </c>
      <c r="B145" s="3" t="s">
        <v>299</v>
      </c>
      <c r="C145" s="3" t="s">
        <v>22</v>
      </c>
      <c r="D145" s="4">
        <v>48</v>
      </c>
      <c r="E145" s="4">
        <v>33</v>
      </c>
      <c r="F145" s="4">
        <v>64</v>
      </c>
      <c r="G145" s="4">
        <v>91</v>
      </c>
      <c r="H145" s="4">
        <v>67</v>
      </c>
      <c r="I145" s="4">
        <f t="shared" si="12"/>
        <v>303</v>
      </c>
      <c r="J145" s="4">
        <v>500</v>
      </c>
      <c r="K145" s="5">
        <f t="shared" si="13"/>
        <v>0.60599999999999998</v>
      </c>
      <c r="L145" s="5">
        <f t="shared" si="14"/>
        <v>0.39400000000000002</v>
      </c>
    </row>
    <row r="146" spans="1:12" x14ac:dyDescent="0.3">
      <c r="A146" s="2" t="s">
        <v>300</v>
      </c>
      <c r="B146" s="3" t="s">
        <v>301</v>
      </c>
      <c r="C146" s="3" t="s">
        <v>14</v>
      </c>
      <c r="D146" s="4">
        <v>48</v>
      </c>
      <c r="E146" s="4">
        <v>74</v>
      </c>
      <c r="F146" s="4">
        <v>91</v>
      </c>
      <c r="G146" s="4">
        <v>91</v>
      </c>
      <c r="H146" s="4">
        <v>23</v>
      </c>
      <c r="I146" s="4">
        <f t="shared" si="12"/>
        <v>327</v>
      </c>
      <c r="J146" s="4">
        <v>500</v>
      </c>
      <c r="K146" s="5">
        <f t="shared" si="13"/>
        <v>0.65400000000000003</v>
      </c>
      <c r="L146" s="5">
        <f t="shared" si="14"/>
        <v>0.34599999999999997</v>
      </c>
    </row>
    <row r="147" spans="1:12" x14ac:dyDescent="0.3">
      <c r="A147" s="2" t="s">
        <v>302</v>
      </c>
      <c r="B147" s="3" t="s">
        <v>303</v>
      </c>
      <c r="C147" s="3" t="s">
        <v>9</v>
      </c>
      <c r="D147" s="4">
        <v>43</v>
      </c>
      <c r="E147" s="4">
        <v>54</v>
      </c>
      <c r="F147" s="4">
        <v>59</v>
      </c>
      <c r="G147" s="4">
        <v>63</v>
      </c>
      <c r="H147" s="4">
        <v>64</v>
      </c>
      <c r="I147" s="4">
        <f t="shared" si="12"/>
        <v>283</v>
      </c>
      <c r="J147" s="4">
        <v>500</v>
      </c>
      <c r="K147" s="5">
        <f t="shared" si="13"/>
        <v>0.56599999999999995</v>
      </c>
      <c r="L147" s="5">
        <f t="shared" si="14"/>
        <v>0.43400000000000005</v>
      </c>
    </row>
    <row r="148" spans="1:12" x14ac:dyDescent="0.3">
      <c r="A148" s="2" t="s">
        <v>304</v>
      </c>
      <c r="B148" s="3" t="s">
        <v>305</v>
      </c>
      <c r="C148" s="3" t="s">
        <v>14</v>
      </c>
      <c r="D148" s="4">
        <v>71</v>
      </c>
      <c r="E148" s="4">
        <v>28</v>
      </c>
      <c r="F148" s="4">
        <v>38</v>
      </c>
      <c r="G148" s="4">
        <v>23</v>
      </c>
      <c r="H148" s="4">
        <v>31</v>
      </c>
      <c r="I148" s="4">
        <f t="shared" si="12"/>
        <v>191</v>
      </c>
      <c r="J148" s="4">
        <v>500</v>
      </c>
      <c r="K148" s="5">
        <f t="shared" si="13"/>
        <v>0.38200000000000001</v>
      </c>
      <c r="L148" s="5">
        <f t="shared" si="14"/>
        <v>0.61799999999999999</v>
      </c>
    </row>
    <row r="149" spans="1:12" x14ac:dyDescent="0.3">
      <c r="A149" s="2" t="s">
        <v>306</v>
      </c>
      <c r="B149" s="3" t="s">
        <v>307</v>
      </c>
      <c r="C149" s="3" t="s">
        <v>22</v>
      </c>
      <c r="D149" s="4">
        <v>78</v>
      </c>
      <c r="E149" s="4">
        <v>63</v>
      </c>
      <c r="F149" s="4">
        <v>40</v>
      </c>
      <c r="G149" s="4">
        <v>67</v>
      </c>
      <c r="H149" s="4">
        <v>59</v>
      </c>
      <c r="I149" s="4">
        <f t="shared" si="12"/>
        <v>307</v>
      </c>
      <c r="J149" s="4">
        <v>500</v>
      </c>
      <c r="K149" s="5">
        <f t="shared" si="13"/>
        <v>0.61399999999999999</v>
      </c>
      <c r="L149" s="5">
        <f t="shared" si="14"/>
        <v>0.38600000000000001</v>
      </c>
    </row>
    <row r="150" spans="1:12" x14ac:dyDescent="0.3">
      <c r="A150" s="2" t="s">
        <v>308</v>
      </c>
      <c r="B150" s="3" t="s">
        <v>309</v>
      </c>
      <c r="C150" s="3" t="s">
        <v>14</v>
      </c>
      <c r="D150" s="4">
        <v>30</v>
      </c>
      <c r="E150" s="4">
        <v>26</v>
      </c>
      <c r="F150" s="4">
        <v>39</v>
      </c>
      <c r="G150" s="4">
        <v>40</v>
      </c>
      <c r="H150" s="4">
        <v>26</v>
      </c>
      <c r="I150" s="4">
        <f t="shared" si="12"/>
        <v>161</v>
      </c>
      <c r="J150" s="4">
        <v>500</v>
      </c>
      <c r="K150" s="5">
        <f t="shared" si="13"/>
        <v>0.32200000000000001</v>
      </c>
      <c r="L150" s="5">
        <f t="shared" si="14"/>
        <v>0.67799999999999994</v>
      </c>
    </row>
    <row r="151" spans="1:12" x14ac:dyDescent="0.3">
      <c r="A151" s="2" t="s">
        <v>310</v>
      </c>
      <c r="B151" s="3" t="s">
        <v>311</v>
      </c>
      <c r="C151" s="3" t="s">
        <v>22</v>
      </c>
      <c r="D151" s="4">
        <v>74</v>
      </c>
      <c r="E151" s="4">
        <v>82</v>
      </c>
      <c r="F151" s="4">
        <v>76</v>
      </c>
      <c r="G151" s="4">
        <v>73</v>
      </c>
      <c r="H151" s="4">
        <v>54</v>
      </c>
      <c r="I151" s="4">
        <f t="shared" si="12"/>
        <v>359</v>
      </c>
      <c r="J151" s="4">
        <v>500</v>
      </c>
      <c r="K151" s="5">
        <f t="shared" si="13"/>
        <v>0.71799999999999997</v>
      </c>
      <c r="L151" s="5">
        <f t="shared" si="14"/>
        <v>0.28200000000000003</v>
      </c>
    </row>
    <row r="152" spans="1:12" x14ac:dyDescent="0.3">
      <c r="A152" s="2" t="s">
        <v>312</v>
      </c>
      <c r="B152" s="3" t="s">
        <v>313</v>
      </c>
      <c r="C152" s="3" t="s">
        <v>9</v>
      </c>
      <c r="D152" s="4">
        <v>64</v>
      </c>
      <c r="E152" s="4">
        <v>75</v>
      </c>
      <c r="F152" s="4">
        <v>34</v>
      </c>
      <c r="G152" s="4">
        <v>56</v>
      </c>
      <c r="H152" s="4">
        <v>95</v>
      </c>
      <c r="I152" s="4">
        <f t="shared" si="12"/>
        <v>324</v>
      </c>
      <c r="J152" s="4">
        <v>500</v>
      </c>
      <c r="K152" s="5">
        <f t="shared" si="13"/>
        <v>0.64800000000000002</v>
      </c>
      <c r="L152" s="5">
        <f t="shared" si="14"/>
        <v>0.35199999999999998</v>
      </c>
    </row>
    <row r="153" spans="1:12" x14ac:dyDescent="0.3">
      <c r="A153" s="2" t="s">
        <v>314</v>
      </c>
      <c r="B153" s="3" t="s">
        <v>315</v>
      </c>
      <c r="C153" s="3" t="s">
        <v>22</v>
      </c>
      <c r="D153" s="4">
        <v>22</v>
      </c>
      <c r="E153" s="4">
        <v>78</v>
      </c>
      <c r="F153" s="4">
        <v>29</v>
      </c>
      <c r="G153" s="4">
        <v>60</v>
      </c>
      <c r="H153" s="4">
        <v>93</v>
      </c>
      <c r="I153" s="4">
        <f t="shared" si="12"/>
        <v>282</v>
      </c>
      <c r="J153" s="4">
        <v>500</v>
      </c>
      <c r="K153" s="5">
        <f t="shared" si="13"/>
        <v>0.56399999999999995</v>
      </c>
      <c r="L153" s="5">
        <f t="shared" si="14"/>
        <v>0.43600000000000005</v>
      </c>
    </row>
    <row r="154" spans="1:12" x14ac:dyDescent="0.3">
      <c r="A154" s="2" t="s">
        <v>316</v>
      </c>
      <c r="B154" s="3" t="s">
        <v>317</v>
      </c>
      <c r="C154" s="3" t="s">
        <v>22</v>
      </c>
      <c r="D154" s="4">
        <v>57</v>
      </c>
      <c r="E154" s="4">
        <v>34</v>
      </c>
      <c r="F154" s="4">
        <v>71</v>
      </c>
      <c r="G154" s="4">
        <v>22</v>
      </c>
      <c r="H154" s="4">
        <v>61</v>
      </c>
      <c r="I154" s="4">
        <f t="shared" si="12"/>
        <v>245</v>
      </c>
      <c r="J154" s="4">
        <v>500</v>
      </c>
      <c r="K154" s="5">
        <f t="shared" si="13"/>
        <v>0.49</v>
      </c>
      <c r="L154" s="5">
        <f t="shared" si="14"/>
        <v>0.51</v>
      </c>
    </row>
    <row r="155" spans="1:12" x14ac:dyDescent="0.3">
      <c r="A155" s="2" t="s">
        <v>318</v>
      </c>
      <c r="B155" s="3" t="s">
        <v>319</v>
      </c>
      <c r="C155" s="3" t="s">
        <v>17</v>
      </c>
      <c r="D155" s="4">
        <v>31</v>
      </c>
      <c r="E155" s="4">
        <v>75</v>
      </c>
      <c r="F155" s="4">
        <v>33</v>
      </c>
      <c r="G155" s="4">
        <v>51</v>
      </c>
      <c r="H155" s="4">
        <v>75</v>
      </c>
      <c r="I155" s="4">
        <f t="shared" si="12"/>
        <v>265</v>
      </c>
      <c r="J155" s="4">
        <v>500</v>
      </c>
      <c r="K155" s="5">
        <f t="shared" si="13"/>
        <v>0.53</v>
      </c>
      <c r="L155" s="5">
        <f t="shared" si="14"/>
        <v>0.47</v>
      </c>
    </row>
    <row r="156" spans="1:12" x14ac:dyDescent="0.3">
      <c r="A156" s="2" t="s">
        <v>320</v>
      </c>
      <c r="B156" s="3" t="s">
        <v>321</v>
      </c>
      <c r="C156" s="3" t="s">
        <v>9</v>
      </c>
      <c r="D156" s="4">
        <v>70</v>
      </c>
      <c r="E156" s="4">
        <v>59</v>
      </c>
      <c r="F156" s="4">
        <v>63</v>
      </c>
      <c r="G156" s="4">
        <v>48</v>
      </c>
      <c r="H156" s="4">
        <v>62</v>
      </c>
      <c r="I156" s="4">
        <f t="shared" si="12"/>
        <v>302</v>
      </c>
      <c r="J156" s="4">
        <v>500</v>
      </c>
      <c r="K156" s="5">
        <f t="shared" si="13"/>
        <v>0.60399999999999998</v>
      </c>
      <c r="L156" s="5">
        <f t="shared" si="14"/>
        <v>0.39600000000000002</v>
      </c>
    </row>
    <row r="157" spans="1:12" x14ac:dyDescent="0.3">
      <c r="A157" s="2" t="s">
        <v>322</v>
      </c>
      <c r="B157" s="3" t="s">
        <v>323</v>
      </c>
      <c r="C157" s="3" t="s">
        <v>9</v>
      </c>
      <c r="D157" s="4">
        <v>87</v>
      </c>
      <c r="E157" s="4">
        <v>85</v>
      </c>
      <c r="F157" s="4">
        <v>44</v>
      </c>
      <c r="G157" s="4">
        <v>64</v>
      </c>
      <c r="H157" s="4">
        <v>64</v>
      </c>
      <c r="I157" s="4">
        <f t="shared" si="12"/>
        <v>344</v>
      </c>
      <c r="J157" s="4">
        <v>500</v>
      </c>
      <c r="K157" s="5">
        <f t="shared" si="13"/>
        <v>0.68799999999999994</v>
      </c>
      <c r="L157" s="5">
        <f t="shared" si="14"/>
        <v>0.31200000000000006</v>
      </c>
    </row>
    <row r="158" spans="1:12" x14ac:dyDescent="0.3">
      <c r="A158" s="2" t="s">
        <v>324</v>
      </c>
      <c r="B158" s="3" t="s">
        <v>325</v>
      </c>
      <c r="C158" s="3" t="s">
        <v>35</v>
      </c>
      <c r="D158" s="4">
        <v>33</v>
      </c>
      <c r="E158" s="4">
        <v>38</v>
      </c>
      <c r="F158" s="4">
        <v>52</v>
      </c>
      <c r="G158" s="4">
        <v>45</v>
      </c>
      <c r="H158" s="4">
        <v>42</v>
      </c>
      <c r="I158" s="4">
        <f t="shared" si="12"/>
        <v>210</v>
      </c>
      <c r="J158" s="4">
        <v>500</v>
      </c>
      <c r="K158" s="5">
        <f t="shared" si="13"/>
        <v>0.42</v>
      </c>
      <c r="L158" s="5">
        <f t="shared" si="14"/>
        <v>0.58000000000000007</v>
      </c>
    </row>
    <row r="159" spans="1:12" x14ac:dyDescent="0.3">
      <c r="A159" s="2" t="s">
        <v>326</v>
      </c>
      <c r="B159" s="3" t="s">
        <v>327</v>
      </c>
      <c r="C159" s="3" t="s">
        <v>17</v>
      </c>
      <c r="D159" s="4">
        <v>60</v>
      </c>
      <c r="E159" s="4">
        <v>39</v>
      </c>
      <c r="F159" s="4">
        <v>76</v>
      </c>
      <c r="G159" s="4">
        <v>28</v>
      </c>
      <c r="H159" s="4">
        <v>80</v>
      </c>
      <c r="I159" s="4">
        <f t="shared" si="12"/>
        <v>283</v>
      </c>
      <c r="J159" s="4">
        <v>500</v>
      </c>
      <c r="K159" s="5">
        <f t="shared" si="13"/>
        <v>0.56599999999999995</v>
      </c>
      <c r="L159" s="5">
        <f t="shared" si="14"/>
        <v>0.43400000000000005</v>
      </c>
    </row>
    <row r="160" spans="1:12" x14ac:dyDescent="0.3">
      <c r="A160" s="2" t="s">
        <v>328</v>
      </c>
      <c r="B160" s="3" t="s">
        <v>329</v>
      </c>
      <c r="C160" s="3" t="s">
        <v>17</v>
      </c>
      <c r="D160" s="4">
        <v>95</v>
      </c>
      <c r="E160" s="4">
        <v>27</v>
      </c>
      <c r="F160" s="4">
        <v>65</v>
      </c>
      <c r="G160" s="4">
        <v>84</v>
      </c>
      <c r="H160" s="4">
        <v>29</v>
      </c>
      <c r="I160" s="4">
        <f t="shared" si="12"/>
        <v>300</v>
      </c>
      <c r="J160" s="4">
        <v>500</v>
      </c>
      <c r="K160" s="5">
        <f t="shared" si="13"/>
        <v>0.6</v>
      </c>
      <c r="L160" s="5">
        <f t="shared" si="14"/>
        <v>0.4</v>
      </c>
    </row>
    <row r="161" spans="1:12" x14ac:dyDescent="0.3">
      <c r="A161" s="2" t="s">
        <v>330</v>
      </c>
      <c r="B161" s="3" t="s">
        <v>331</v>
      </c>
      <c r="C161" s="3" t="s">
        <v>9</v>
      </c>
      <c r="D161" s="4">
        <v>27</v>
      </c>
      <c r="E161" s="4">
        <v>67</v>
      </c>
      <c r="F161" s="4">
        <v>56</v>
      </c>
      <c r="G161" s="4">
        <v>29</v>
      </c>
      <c r="H161" s="4">
        <v>31</v>
      </c>
      <c r="I161" s="4">
        <f t="shared" si="12"/>
        <v>210</v>
      </c>
      <c r="J161" s="4">
        <v>500</v>
      </c>
      <c r="K161" s="5">
        <f t="shared" si="13"/>
        <v>0.42</v>
      </c>
      <c r="L161" s="5">
        <f t="shared" si="14"/>
        <v>0.58000000000000007</v>
      </c>
    </row>
    <row r="162" spans="1:12" x14ac:dyDescent="0.3">
      <c r="A162" s="2" t="s">
        <v>332</v>
      </c>
      <c r="B162" s="3" t="s">
        <v>333</v>
      </c>
      <c r="C162" s="3" t="s">
        <v>22</v>
      </c>
      <c r="D162" s="4">
        <v>79</v>
      </c>
      <c r="E162" s="4">
        <v>94</v>
      </c>
      <c r="F162" s="4">
        <v>90</v>
      </c>
      <c r="G162" s="4">
        <v>25</v>
      </c>
      <c r="H162" s="4">
        <v>77</v>
      </c>
      <c r="I162" s="4">
        <f t="shared" ref="I162:I193" si="15">SUM(D162:H162)</f>
        <v>365</v>
      </c>
      <c r="J162" s="4">
        <v>500</v>
      </c>
      <c r="K162" s="5">
        <f t="shared" ref="K162:K193" si="16">I162/J162</f>
        <v>0.73</v>
      </c>
      <c r="L162" s="5">
        <f t="shared" ref="L162:L193" si="17">1-K162</f>
        <v>0.27</v>
      </c>
    </row>
    <row r="163" spans="1:12" x14ac:dyDescent="0.3">
      <c r="A163" s="2" t="s">
        <v>334</v>
      </c>
      <c r="B163" s="3" t="s">
        <v>335</v>
      </c>
      <c r="C163" s="3" t="s">
        <v>17</v>
      </c>
      <c r="D163" s="4">
        <v>80</v>
      </c>
      <c r="E163" s="4">
        <v>84</v>
      </c>
      <c r="F163" s="4">
        <v>39</v>
      </c>
      <c r="G163" s="4">
        <v>27</v>
      </c>
      <c r="H163" s="4">
        <v>77</v>
      </c>
      <c r="I163" s="4">
        <f t="shared" si="15"/>
        <v>307</v>
      </c>
      <c r="J163" s="4">
        <v>500</v>
      </c>
      <c r="K163" s="5">
        <f t="shared" si="16"/>
        <v>0.61399999999999999</v>
      </c>
      <c r="L163" s="5">
        <f t="shared" si="17"/>
        <v>0.38600000000000001</v>
      </c>
    </row>
    <row r="164" spans="1:12" x14ac:dyDescent="0.3">
      <c r="A164" s="2" t="s">
        <v>336</v>
      </c>
      <c r="B164" s="3" t="s">
        <v>337</v>
      </c>
      <c r="C164" s="3" t="s">
        <v>14</v>
      </c>
      <c r="D164" s="4">
        <v>42</v>
      </c>
      <c r="E164" s="4">
        <v>25</v>
      </c>
      <c r="F164" s="4">
        <v>51</v>
      </c>
      <c r="G164" s="4">
        <v>76</v>
      </c>
      <c r="H164" s="4">
        <v>76</v>
      </c>
      <c r="I164" s="4">
        <f t="shared" si="15"/>
        <v>270</v>
      </c>
      <c r="J164" s="4">
        <v>500</v>
      </c>
      <c r="K164" s="5">
        <f t="shared" si="16"/>
        <v>0.54</v>
      </c>
      <c r="L164" s="5">
        <f t="shared" si="17"/>
        <v>0.45999999999999996</v>
      </c>
    </row>
    <row r="165" spans="1:12" x14ac:dyDescent="0.3">
      <c r="A165" s="2" t="s">
        <v>338</v>
      </c>
      <c r="B165" s="3" t="s">
        <v>339</v>
      </c>
      <c r="C165" s="3" t="s">
        <v>35</v>
      </c>
      <c r="D165" s="4">
        <v>66</v>
      </c>
      <c r="E165" s="4">
        <v>67</v>
      </c>
      <c r="F165" s="4">
        <v>56</v>
      </c>
      <c r="G165" s="4">
        <v>69</v>
      </c>
      <c r="H165" s="4">
        <v>72</v>
      </c>
      <c r="I165" s="4">
        <f t="shared" si="15"/>
        <v>330</v>
      </c>
      <c r="J165" s="4">
        <v>500</v>
      </c>
      <c r="K165" s="5">
        <f t="shared" si="16"/>
        <v>0.66</v>
      </c>
      <c r="L165" s="5">
        <f t="shared" si="17"/>
        <v>0.33999999999999997</v>
      </c>
    </row>
    <row r="166" spans="1:12" x14ac:dyDescent="0.3">
      <c r="A166" s="2" t="s">
        <v>340</v>
      </c>
      <c r="B166" s="3" t="s">
        <v>341</v>
      </c>
      <c r="C166" s="3" t="s">
        <v>9</v>
      </c>
      <c r="D166" s="4">
        <v>62</v>
      </c>
      <c r="E166" s="4">
        <v>28</v>
      </c>
      <c r="F166" s="4">
        <v>62</v>
      </c>
      <c r="G166" s="4">
        <v>32</v>
      </c>
      <c r="H166" s="4">
        <v>91</v>
      </c>
      <c r="I166" s="4">
        <f t="shared" si="15"/>
        <v>275</v>
      </c>
      <c r="J166" s="4">
        <v>500</v>
      </c>
      <c r="K166" s="5">
        <f t="shared" si="16"/>
        <v>0.55000000000000004</v>
      </c>
      <c r="L166" s="5">
        <f t="shared" si="17"/>
        <v>0.44999999999999996</v>
      </c>
    </row>
    <row r="167" spans="1:12" x14ac:dyDescent="0.3">
      <c r="A167" s="2" t="s">
        <v>342</v>
      </c>
      <c r="B167" s="3" t="s">
        <v>343</v>
      </c>
      <c r="C167" s="3" t="s">
        <v>17</v>
      </c>
      <c r="D167" s="4">
        <v>39</v>
      </c>
      <c r="E167" s="4">
        <v>62</v>
      </c>
      <c r="F167" s="4">
        <v>30</v>
      </c>
      <c r="G167" s="4">
        <v>94</v>
      </c>
      <c r="H167" s="4">
        <v>38</v>
      </c>
      <c r="I167" s="4">
        <f t="shared" si="15"/>
        <v>263</v>
      </c>
      <c r="J167" s="4">
        <v>500</v>
      </c>
      <c r="K167" s="5">
        <f t="shared" si="16"/>
        <v>0.52600000000000002</v>
      </c>
      <c r="L167" s="5">
        <f t="shared" si="17"/>
        <v>0.47399999999999998</v>
      </c>
    </row>
    <row r="168" spans="1:12" x14ac:dyDescent="0.3">
      <c r="A168" s="2" t="s">
        <v>344</v>
      </c>
      <c r="B168" s="3" t="s">
        <v>345</v>
      </c>
      <c r="C168" s="3" t="s">
        <v>9</v>
      </c>
      <c r="D168" s="4">
        <v>74</v>
      </c>
      <c r="E168" s="4">
        <v>85</v>
      </c>
      <c r="F168" s="4">
        <v>66</v>
      </c>
      <c r="G168" s="4">
        <v>22</v>
      </c>
      <c r="H168" s="4">
        <v>66</v>
      </c>
      <c r="I168" s="4">
        <f t="shared" si="15"/>
        <v>313</v>
      </c>
      <c r="J168" s="4">
        <v>500</v>
      </c>
      <c r="K168" s="5">
        <f t="shared" si="16"/>
        <v>0.626</v>
      </c>
      <c r="L168" s="5">
        <f t="shared" si="17"/>
        <v>0.374</v>
      </c>
    </row>
    <row r="169" spans="1:12" x14ac:dyDescent="0.3">
      <c r="A169" s="2" t="s">
        <v>346</v>
      </c>
      <c r="B169" s="3" t="s">
        <v>347</v>
      </c>
      <c r="C169" s="3" t="s">
        <v>17</v>
      </c>
      <c r="D169" s="4">
        <v>82</v>
      </c>
      <c r="E169" s="4">
        <v>44</v>
      </c>
      <c r="F169" s="4">
        <v>48</v>
      </c>
      <c r="G169" s="4">
        <v>37</v>
      </c>
      <c r="H169" s="4">
        <v>39</v>
      </c>
      <c r="I169" s="4">
        <f t="shared" si="15"/>
        <v>250</v>
      </c>
      <c r="J169" s="4">
        <v>500</v>
      </c>
      <c r="K169" s="5">
        <f t="shared" si="16"/>
        <v>0.5</v>
      </c>
      <c r="L169" s="5">
        <f t="shared" si="17"/>
        <v>0.5</v>
      </c>
    </row>
    <row r="170" spans="1:12" x14ac:dyDescent="0.3">
      <c r="A170" s="2" t="s">
        <v>348</v>
      </c>
      <c r="B170" s="3" t="s">
        <v>349</v>
      </c>
      <c r="C170" s="3" t="s">
        <v>14</v>
      </c>
      <c r="D170" s="4">
        <v>89</v>
      </c>
      <c r="E170" s="4">
        <v>87</v>
      </c>
      <c r="F170" s="4">
        <v>24</v>
      </c>
      <c r="G170" s="4">
        <v>63</v>
      </c>
      <c r="H170" s="4">
        <v>36</v>
      </c>
      <c r="I170" s="4">
        <f t="shared" si="15"/>
        <v>299</v>
      </c>
      <c r="J170" s="4">
        <v>500</v>
      </c>
      <c r="K170" s="5">
        <f t="shared" si="16"/>
        <v>0.59799999999999998</v>
      </c>
      <c r="L170" s="5">
        <f t="shared" si="17"/>
        <v>0.40200000000000002</v>
      </c>
    </row>
    <row r="171" spans="1:12" x14ac:dyDescent="0.3">
      <c r="A171" s="2" t="s">
        <v>350</v>
      </c>
      <c r="B171" s="3" t="s">
        <v>351</v>
      </c>
      <c r="C171" s="3" t="s">
        <v>35</v>
      </c>
      <c r="D171" s="4">
        <v>43</v>
      </c>
      <c r="E171" s="4">
        <v>41</v>
      </c>
      <c r="F171" s="4">
        <v>76</v>
      </c>
      <c r="G171" s="4">
        <v>25</v>
      </c>
      <c r="H171" s="4">
        <v>72</v>
      </c>
      <c r="I171" s="4">
        <f t="shared" si="15"/>
        <v>257</v>
      </c>
      <c r="J171" s="4">
        <v>500</v>
      </c>
      <c r="K171" s="5">
        <f t="shared" si="16"/>
        <v>0.51400000000000001</v>
      </c>
      <c r="L171" s="5">
        <f t="shared" si="17"/>
        <v>0.48599999999999999</v>
      </c>
    </row>
    <row r="172" spans="1:12" x14ac:dyDescent="0.3">
      <c r="A172" s="2" t="s">
        <v>352</v>
      </c>
      <c r="B172" s="3" t="s">
        <v>353</v>
      </c>
      <c r="C172" s="3" t="s">
        <v>22</v>
      </c>
      <c r="D172" s="4">
        <v>56</v>
      </c>
      <c r="E172" s="4">
        <v>77</v>
      </c>
      <c r="F172" s="4">
        <v>49</v>
      </c>
      <c r="G172" s="4">
        <v>88</v>
      </c>
      <c r="H172" s="4">
        <v>50</v>
      </c>
      <c r="I172" s="4">
        <f t="shared" si="15"/>
        <v>320</v>
      </c>
      <c r="J172" s="4">
        <v>500</v>
      </c>
      <c r="K172" s="5">
        <f t="shared" si="16"/>
        <v>0.64</v>
      </c>
      <c r="L172" s="5">
        <f t="shared" si="17"/>
        <v>0.36</v>
      </c>
    </row>
    <row r="173" spans="1:12" x14ac:dyDescent="0.3">
      <c r="A173" s="2" t="s">
        <v>354</v>
      </c>
      <c r="B173" s="3" t="s">
        <v>355</v>
      </c>
      <c r="C173" s="3" t="s">
        <v>17</v>
      </c>
      <c r="D173" s="4">
        <v>93</v>
      </c>
      <c r="E173" s="4">
        <v>76</v>
      </c>
      <c r="F173" s="4">
        <v>79</v>
      </c>
      <c r="G173" s="4">
        <v>56</v>
      </c>
      <c r="H173" s="4">
        <v>68</v>
      </c>
      <c r="I173" s="4">
        <f t="shared" si="15"/>
        <v>372</v>
      </c>
      <c r="J173" s="4">
        <v>500</v>
      </c>
      <c r="K173" s="5">
        <f t="shared" si="16"/>
        <v>0.74399999999999999</v>
      </c>
      <c r="L173" s="5">
        <f t="shared" si="17"/>
        <v>0.25600000000000001</v>
      </c>
    </row>
    <row r="174" spans="1:12" x14ac:dyDescent="0.3">
      <c r="A174" s="2" t="s">
        <v>356</v>
      </c>
      <c r="B174" s="3" t="s">
        <v>357</v>
      </c>
      <c r="C174" s="3" t="s">
        <v>35</v>
      </c>
      <c r="D174" s="4">
        <v>45</v>
      </c>
      <c r="E174" s="4">
        <v>37</v>
      </c>
      <c r="F174" s="4">
        <v>52</v>
      </c>
      <c r="G174" s="4">
        <v>26</v>
      </c>
      <c r="H174" s="4">
        <v>81</v>
      </c>
      <c r="I174" s="4">
        <f t="shared" si="15"/>
        <v>241</v>
      </c>
      <c r="J174" s="4">
        <v>500</v>
      </c>
      <c r="K174" s="5">
        <f t="shared" si="16"/>
        <v>0.48199999999999998</v>
      </c>
      <c r="L174" s="5">
        <f t="shared" si="17"/>
        <v>0.51800000000000002</v>
      </c>
    </row>
    <row r="175" spans="1:12" x14ac:dyDescent="0.3">
      <c r="A175" s="2" t="s">
        <v>358</v>
      </c>
      <c r="B175" s="3" t="s">
        <v>359</v>
      </c>
      <c r="C175" s="3" t="s">
        <v>14</v>
      </c>
      <c r="D175" s="4">
        <v>35</v>
      </c>
      <c r="E175" s="4">
        <v>56</v>
      </c>
      <c r="F175" s="4">
        <v>30</v>
      </c>
      <c r="G175" s="4">
        <v>40</v>
      </c>
      <c r="H175" s="4">
        <v>54</v>
      </c>
      <c r="I175" s="4">
        <f t="shared" si="15"/>
        <v>215</v>
      </c>
      <c r="J175" s="4">
        <v>500</v>
      </c>
      <c r="K175" s="5">
        <f t="shared" si="16"/>
        <v>0.43</v>
      </c>
      <c r="L175" s="5">
        <f t="shared" si="17"/>
        <v>0.57000000000000006</v>
      </c>
    </row>
    <row r="176" spans="1:12" x14ac:dyDescent="0.3">
      <c r="A176" s="2" t="s">
        <v>360</v>
      </c>
      <c r="B176" s="3" t="s">
        <v>361</v>
      </c>
      <c r="C176" s="3" t="s">
        <v>22</v>
      </c>
      <c r="D176" s="4">
        <v>31</v>
      </c>
      <c r="E176" s="4">
        <v>48</v>
      </c>
      <c r="F176" s="4">
        <v>77</v>
      </c>
      <c r="G176" s="4">
        <v>64</v>
      </c>
      <c r="H176" s="4">
        <v>23</v>
      </c>
      <c r="I176" s="4">
        <f t="shared" si="15"/>
        <v>243</v>
      </c>
      <c r="J176" s="4">
        <v>500</v>
      </c>
      <c r="K176" s="5">
        <f t="shared" si="16"/>
        <v>0.48599999999999999</v>
      </c>
      <c r="L176" s="5">
        <f t="shared" si="17"/>
        <v>0.51400000000000001</v>
      </c>
    </row>
    <row r="177" spans="1:12" x14ac:dyDescent="0.3">
      <c r="A177" s="2" t="s">
        <v>362</v>
      </c>
      <c r="B177" s="3" t="s">
        <v>363</v>
      </c>
      <c r="C177" s="3" t="s">
        <v>14</v>
      </c>
      <c r="D177" s="4">
        <v>67</v>
      </c>
      <c r="E177" s="4">
        <v>50</v>
      </c>
      <c r="F177" s="4">
        <v>69</v>
      </c>
      <c r="G177" s="4">
        <v>30</v>
      </c>
      <c r="H177" s="4">
        <v>67</v>
      </c>
      <c r="I177" s="4">
        <f t="shared" si="15"/>
        <v>283</v>
      </c>
      <c r="J177" s="4">
        <v>500</v>
      </c>
      <c r="K177" s="5">
        <f t="shared" si="16"/>
        <v>0.56599999999999995</v>
      </c>
      <c r="L177" s="5">
        <f t="shared" si="17"/>
        <v>0.43400000000000005</v>
      </c>
    </row>
    <row r="178" spans="1:12" x14ac:dyDescent="0.3">
      <c r="A178" s="2" t="s">
        <v>364</v>
      </c>
      <c r="B178" s="3" t="s">
        <v>365</v>
      </c>
      <c r="C178" s="3" t="s">
        <v>9</v>
      </c>
      <c r="D178" s="4">
        <v>62</v>
      </c>
      <c r="E178" s="4">
        <v>38</v>
      </c>
      <c r="F178" s="4">
        <v>37</v>
      </c>
      <c r="G178" s="4">
        <v>24</v>
      </c>
      <c r="H178" s="4">
        <v>56</v>
      </c>
      <c r="I178" s="4">
        <f t="shared" si="15"/>
        <v>217</v>
      </c>
      <c r="J178" s="4">
        <v>500</v>
      </c>
      <c r="K178" s="5">
        <f t="shared" si="16"/>
        <v>0.434</v>
      </c>
      <c r="L178" s="5">
        <f t="shared" si="17"/>
        <v>0.56600000000000006</v>
      </c>
    </row>
    <row r="179" spans="1:12" x14ac:dyDescent="0.3">
      <c r="A179" s="2" t="s">
        <v>366</v>
      </c>
      <c r="B179" s="3" t="s">
        <v>367</v>
      </c>
      <c r="C179" s="3" t="s">
        <v>22</v>
      </c>
      <c r="D179" s="4">
        <v>77</v>
      </c>
      <c r="E179" s="4">
        <v>20</v>
      </c>
      <c r="F179" s="4">
        <v>30</v>
      </c>
      <c r="G179" s="4">
        <v>22</v>
      </c>
      <c r="H179" s="4">
        <v>52</v>
      </c>
      <c r="I179" s="4">
        <f t="shared" si="15"/>
        <v>201</v>
      </c>
      <c r="J179" s="4">
        <v>500</v>
      </c>
      <c r="K179" s="5">
        <f t="shared" si="16"/>
        <v>0.40200000000000002</v>
      </c>
      <c r="L179" s="5">
        <f t="shared" si="17"/>
        <v>0.59799999999999998</v>
      </c>
    </row>
    <row r="180" spans="1:12" x14ac:dyDescent="0.3">
      <c r="A180" s="2" t="s">
        <v>368</v>
      </c>
      <c r="B180" s="3" t="s">
        <v>369</v>
      </c>
      <c r="C180" s="3" t="s">
        <v>14</v>
      </c>
      <c r="D180" s="4">
        <v>87</v>
      </c>
      <c r="E180" s="4">
        <v>74</v>
      </c>
      <c r="F180" s="4">
        <v>34</v>
      </c>
      <c r="G180" s="4">
        <v>56</v>
      </c>
      <c r="H180" s="4">
        <v>50</v>
      </c>
      <c r="I180" s="4">
        <f t="shared" si="15"/>
        <v>301</v>
      </c>
      <c r="J180" s="4">
        <v>500</v>
      </c>
      <c r="K180" s="5">
        <f t="shared" si="16"/>
        <v>0.60199999999999998</v>
      </c>
      <c r="L180" s="5">
        <f t="shared" si="17"/>
        <v>0.39800000000000002</v>
      </c>
    </row>
    <row r="181" spans="1:12" x14ac:dyDescent="0.3">
      <c r="A181" s="2" t="s">
        <v>370</v>
      </c>
      <c r="B181" s="3" t="s">
        <v>371</v>
      </c>
      <c r="C181" s="3" t="s">
        <v>35</v>
      </c>
      <c r="D181" s="4">
        <v>73</v>
      </c>
      <c r="E181" s="4">
        <v>78</v>
      </c>
      <c r="F181" s="4">
        <v>28</v>
      </c>
      <c r="G181" s="4">
        <v>34</v>
      </c>
      <c r="H181" s="4">
        <v>83</v>
      </c>
      <c r="I181" s="4">
        <f t="shared" si="15"/>
        <v>296</v>
      </c>
      <c r="J181" s="4">
        <v>500</v>
      </c>
      <c r="K181" s="5">
        <f t="shared" si="16"/>
        <v>0.59199999999999997</v>
      </c>
      <c r="L181" s="5">
        <f t="shared" si="17"/>
        <v>0.40800000000000003</v>
      </c>
    </row>
    <row r="182" spans="1:12" x14ac:dyDescent="0.3">
      <c r="A182" s="2" t="s">
        <v>372</v>
      </c>
      <c r="B182" s="3" t="s">
        <v>373</v>
      </c>
      <c r="C182" s="3" t="s">
        <v>14</v>
      </c>
      <c r="D182" s="4">
        <v>93</v>
      </c>
      <c r="E182" s="4">
        <v>50</v>
      </c>
      <c r="F182" s="4">
        <v>38</v>
      </c>
      <c r="G182" s="4">
        <v>57</v>
      </c>
      <c r="H182" s="4">
        <v>74</v>
      </c>
      <c r="I182" s="4">
        <f t="shared" si="15"/>
        <v>312</v>
      </c>
      <c r="J182" s="4">
        <v>500</v>
      </c>
      <c r="K182" s="5">
        <f t="shared" si="16"/>
        <v>0.624</v>
      </c>
      <c r="L182" s="5">
        <f t="shared" si="17"/>
        <v>0.376</v>
      </c>
    </row>
    <row r="183" spans="1:12" x14ac:dyDescent="0.3">
      <c r="A183" s="2" t="s">
        <v>374</v>
      </c>
      <c r="B183" s="3" t="s">
        <v>375</v>
      </c>
      <c r="C183" s="3" t="s">
        <v>35</v>
      </c>
      <c r="D183" s="4">
        <v>93</v>
      </c>
      <c r="E183" s="4">
        <v>73</v>
      </c>
      <c r="F183" s="4">
        <v>43</v>
      </c>
      <c r="G183" s="4">
        <v>30</v>
      </c>
      <c r="H183" s="4">
        <v>87</v>
      </c>
      <c r="I183" s="4">
        <f t="shared" si="15"/>
        <v>326</v>
      </c>
      <c r="J183" s="4">
        <v>500</v>
      </c>
      <c r="K183" s="5">
        <f t="shared" si="16"/>
        <v>0.65200000000000002</v>
      </c>
      <c r="L183" s="5">
        <f t="shared" si="17"/>
        <v>0.34799999999999998</v>
      </c>
    </row>
    <row r="184" spans="1:12" x14ac:dyDescent="0.3">
      <c r="A184" s="2" t="s">
        <v>376</v>
      </c>
      <c r="B184" s="3" t="s">
        <v>377</v>
      </c>
      <c r="C184" s="3" t="s">
        <v>17</v>
      </c>
      <c r="D184" s="4">
        <v>52</v>
      </c>
      <c r="E184" s="4">
        <v>22</v>
      </c>
      <c r="F184" s="4">
        <v>65</v>
      </c>
      <c r="G184" s="4">
        <v>28</v>
      </c>
      <c r="H184" s="4">
        <v>64</v>
      </c>
      <c r="I184" s="4">
        <f t="shared" si="15"/>
        <v>231</v>
      </c>
      <c r="J184" s="4">
        <v>500</v>
      </c>
      <c r="K184" s="5">
        <f t="shared" si="16"/>
        <v>0.46200000000000002</v>
      </c>
      <c r="L184" s="5">
        <f t="shared" si="17"/>
        <v>0.53800000000000003</v>
      </c>
    </row>
    <row r="201" spans="1:12" x14ac:dyDescent="0.3">
      <c r="A201" s="2"/>
      <c r="B201" s="3"/>
      <c r="C201" s="3"/>
      <c r="D201" s="4"/>
      <c r="E201" s="4"/>
      <c r="F201" s="4"/>
      <c r="G201" s="4"/>
      <c r="H201" s="4"/>
      <c r="I201" s="4"/>
      <c r="J201" s="4"/>
      <c r="K201" s="5"/>
      <c r="L201" s="5"/>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Yash Pillewan</cp:lastModifiedBy>
  <cp:revision>0</cp:revision>
  <dcterms:created xsi:type="dcterms:W3CDTF">2026-07-17T10:43:01Z</dcterms:created>
  <dcterms:modified xsi:type="dcterms:W3CDTF">2026-07-17T13:41:26Z</dcterms:modified>
  <dc:language>en-US</dc:language>
</cp:coreProperties>
</file>